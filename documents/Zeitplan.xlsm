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kirrk\OneDrive\Documents\Hochschule\Medieninformatik\Bachelorarbeit\Persona-Simulator\documents\"/>
    </mc:Choice>
  </mc:AlternateContent>
  <bookViews>
    <workbookView xWindow="0" yWindow="0" windowWidth="21600" windowHeight="9810"/>
  </bookViews>
  <sheets>
    <sheet name="Tabelle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1" i="1" l="1"/>
  <c r="E69" i="1"/>
  <c r="E68" i="1"/>
  <c r="E67" i="1"/>
  <c r="E66" i="1"/>
  <c r="E65" i="1"/>
  <c r="E64" i="1"/>
  <c r="I4" i="1" l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AV4" i="1" s="1"/>
  <c r="AW4" i="1" s="1"/>
  <c r="AX4" i="1" s="1"/>
  <c r="AY4" i="1" s="1"/>
  <c r="AZ4" i="1" s="1"/>
  <c r="BA4" i="1" s="1"/>
  <c r="BB4" i="1" s="1"/>
  <c r="BC4" i="1" s="1"/>
  <c r="BD4" i="1" s="1"/>
  <c r="BE4" i="1" s="1"/>
  <c r="BF4" i="1" s="1"/>
  <c r="BG4" i="1" s="1"/>
  <c r="BH4" i="1" s="1"/>
  <c r="BI4" i="1" s="1"/>
  <c r="BJ4" i="1" s="1"/>
  <c r="BK4" i="1" s="1"/>
  <c r="BL4" i="1" s="1"/>
  <c r="BM4" i="1" s="1"/>
  <c r="BN4" i="1" s="1"/>
  <c r="BO4" i="1" s="1"/>
  <c r="BP4" i="1" s="1"/>
  <c r="BQ4" i="1" s="1"/>
  <c r="BR4" i="1" s="1"/>
  <c r="BS4" i="1" s="1"/>
  <c r="BT4" i="1" s="1"/>
  <c r="BU4" i="1" s="1"/>
  <c r="BV4" i="1" s="1"/>
  <c r="BW4" i="1" s="1"/>
  <c r="BX4" i="1" s="1"/>
  <c r="BY4" i="1" s="1"/>
  <c r="BZ4" i="1" s="1"/>
  <c r="CA4" i="1" s="1"/>
  <c r="CB4" i="1" s="1"/>
  <c r="CC4" i="1" s="1"/>
  <c r="CD4" i="1" s="1"/>
  <c r="CE4" i="1" s="1"/>
  <c r="CF4" i="1" s="1"/>
  <c r="CG4" i="1" s="1"/>
  <c r="CH4" i="1" s="1"/>
  <c r="CI4" i="1" s="1"/>
  <c r="CJ4" i="1" s="1"/>
  <c r="CK4" i="1" s="1"/>
  <c r="CL4" i="1" s="1"/>
  <c r="CM4" i="1" s="1"/>
  <c r="CN4" i="1" s="1"/>
  <c r="CO4" i="1" s="1"/>
  <c r="CP4" i="1" s="1"/>
  <c r="CQ4" i="1" s="1"/>
  <c r="CR4" i="1" s="1"/>
  <c r="CS4" i="1" s="1"/>
  <c r="CT4" i="1" s="1"/>
  <c r="CU4" i="1" s="1"/>
  <c r="E8" i="1"/>
  <c r="G8" i="1" s="1"/>
  <c r="E9" i="1" s="1"/>
  <c r="G9" i="1" l="1"/>
  <c r="E10" i="1" l="1"/>
  <c r="G10" i="1" s="1"/>
  <c r="E11" i="1" s="1"/>
  <c r="G11" i="1" s="1"/>
  <c r="E12" i="1" s="1"/>
  <c r="G12" i="1" s="1"/>
  <c r="E13" i="1" l="1"/>
  <c r="G13" i="1" s="1"/>
  <c r="E14" i="1" s="1"/>
  <c r="G14" i="1" s="1"/>
  <c r="E15" i="1" s="1"/>
  <c r="G15" i="1" l="1"/>
  <c r="E16" i="1" s="1"/>
  <c r="G16" i="1" s="1"/>
  <c r="E17" i="1" s="1"/>
  <c r="G17" i="1" s="1"/>
  <c r="E18" i="1" l="1"/>
  <c r="G18" i="1" s="1"/>
  <c r="E19" i="1" l="1"/>
  <c r="G19" i="1" l="1"/>
  <c r="E20" i="1" s="1"/>
  <c r="G20" i="1" l="1"/>
  <c r="E21" i="1" s="1"/>
  <c r="G21" i="1" s="1"/>
  <c r="E22" i="1" s="1"/>
  <c r="G22" i="1" s="1"/>
  <c r="E23" i="1" l="1"/>
  <c r="G23" i="1" s="1"/>
  <c r="E24" i="1" l="1"/>
  <c r="G24" i="1" s="1"/>
  <c r="E25" i="1" l="1"/>
  <c r="G25" i="1" s="1"/>
  <c r="E26" i="1" l="1"/>
  <c r="G26" i="1" s="1"/>
  <c r="E27" i="1" l="1"/>
  <c r="G27" i="1" s="1"/>
  <c r="E28" i="1" l="1"/>
  <c r="G28" i="1" s="1"/>
  <c r="E29" i="1" l="1"/>
  <c r="G29" i="1" s="1"/>
  <c r="E30" i="1" l="1"/>
  <c r="G30" i="1" s="1"/>
  <c r="E31" i="1" l="1"/>
  <c r="G31" i="1" s="1"/>
  <c r="E32" i="1" l="1"/>
  <c r="G32" i="1" s="1"/>
  <c r="E33" i="1" l="1"/>
  <c r="G33" i="1" s="1"/>
  <c r="E34" i="1" l="1"/>
  <c r="G34" i="1" s="1"/>
  <c r="E35" i="1" s="1"/>
  <c r="G35" i="1" s="1"/>
  <c r="E36" i="1" s="1"/>
  <c r="G36" i="1" s="1"/>
  <c r="E37" i="1" s="1"/>
  <c r="G37" i="1" s="1"/>
  <c r="E38" i="1" s="1"/>
  <c r="G38" i="1" s="1"/>
  <c r="E39" i="1" s="1"/>
  <c r="G39" i="1" s="1"/>
  <c r="E40" i="1" s="1"/>
  <c r="G40" i="1" s="1"/>
  <c r="E41" i="1" s="1"/>
  <c r="G41" i="1" s="1"/>
  <c r="E42" i="1" s="1"/>
  <c r="G42" i="1" s="1"/>
  <c r="E43" i="1" s="1"/>
  <c r="G43" i="1" s="1"/>
  <c r="E44" i="1" s="1"/>
  <c r="G44" i="1" s="1"/>
  <c r="E45" i="1" s="1"/>
  <c r="G45" i="1" s="1"/>
  <c r="E46" i="1" s="1"/>
  <c r="G46" i="1" s="1"/>
  <c r="E47" i="1" s="1"/>
  <c r="G47" i="1" s="1"/>
  <c r="E48" i="1" s="1"/>
  <c r="G48" i="1" l="1"/>
  <c r="E49" i="1" s="1"/>
  <c r="G49" i="1" s="1"/>
  <c r="E50" i="1" s="1"/>
  <c r="G50" i="1" s="1"/>
  <c r="E51" i="1" s="1"/>
  <c r="G51" i="1" s="1"/>
  <c r="E52" i="1" s="1"/>
  <c r="G52" i="1" s="1"/>
  <c r="E53" i="1" s="1"/>
  <c r="G53" i="1" s="1"/>
  <c r="E54" i="1" s="1"/>
  <c r="G54" i="1" s="1"/>
  <c r="E55" i="1" s="1"/>
  <c r="G55" i="1" l="1"/>
  <c r="E56" i="1" s="1"/>
  <c r="G56" i="1" l="1"/>
  <c r="E57" i="1" s="1"/>
  <c r="G57" i="1" l="1"/>
  <c r="E58" i="1" s="1"/>
  <c r="G58" i="1" l="1"/>
  <c r="E59" i="1" s="1"/>
  <c r="G59" i="1" l="1"/>
  <c r="E60" i="1" s="1"/>
  <c r="G60" i="1" s="1"/>
  <c r="E61" i="1" s="1"/>
  <c r="G61" i="1" s="1"/>
</calcChain>
</file>

<file path=xl/sharedStrings.xml><?xml version="1.0" encoding="utf-8"?>
<sst xmlns="http://schemas.openxmlformats.org/spreadsheetml/2006/main" count="282" uniqueCount="218">
  <si>
    <t>Aufgabe</t>
  </si>
  <si>
    <t>Bachelorthesis: Entwicklung des PersonaSimulator</t>
  </si>
  <si>
    <t>Verfasser:</t>
  </si>
  <si>
    <t>Kevin Kirr</t>
  </si>
  <si>
    <t>Anfangsdatum:</t>
  </si>
  <si>
    <t>Nr</t>
  </si>
  <si>
    <t>Start</t>
  </si>
  <si>
    <t>Dauer</t>
  </si>
  <si>
    <t>Ende</t>
  </si>
  <si>
    <t>Status</t>
  </si>
  <si>
    <t>Zeitplan:</t>
  </si>
  <si>
    <t>X</t>
  </si>
  <si>
    <t>Zeitplan erstellen</t>
  </si>
  <si>
    <t>Bachelor Thesis Formatvorlage erstellen</t>
  </si>
  <si>
    <t>Literaturrecherche</t>
  </si>
  <si>
    <t>Literaturrecherche Thema Barrierefreiheit / WCAG</t>
  </si>
  <si>
    <t>Vorlage Ergebnisprotokoll Erstellen</t>
  </si>
  <si>
    <t>Korrekturlesen 1</t>
  </si>
  <si>
    <t>Korrekturlesen 2</t>
  </si>
  <si>
    <t>Einpflegen der Ergebnissse auf Korrekturlesen 1</t>
  </si>
  <si>
    <t>Einpflegen der Ergebnissse auf Korrekturlesen 2</t>
  </si>
  <si>
    <t>Deadline</t>
  </si>
  <si>
    <t>Vorbereitung</t>
  </si>
  <si>
    <t>Korrektur</t>
  </si>
  <si>
    <t>Entwicklung</t>
  </si>
  <si>
    <t>Literaturrecherche Thema Javascript / OpenGL</t>
  </si>
  <si>
    <t>Quellen überprüfen/korrigeren</t>
  </si>
  <si>
    <t>Zitierweise überprüfen/korrigeren</t>
  </si>
  <si>
    <t>Einleitung überprüfen/korrigeren</t>
  </si>
  <si>
    <t>Kategorie</t>
  </si>
  <si>
    <t>Spalte1</t>
  </si>
  <si>
    <t>Theorieteil</t>
  </si>
  <si>
    <t>Gliederung der Arbeit erstellen</t>
  </si>
  <si>
    <t>Teil</t>
  </si>
  <si>
    <t>Browser Simulation 1: Auswahl Testseite</t>
  </si>
  <si>
    <t>Browser Simulation 2: Auswahl Testseite</t>
  </si>
  <si>
    <t>Browser Simulation 3: Auswahl Testseite</t>
  </si>
  <si>
    <t>Browser Simulation 1: Vorüberlegung Technische Umsetzung</t>
  </si>
  <si>
    <t>Browser Simulation 2: Vorüberlegung Technische Umsetzung</t>
  </si>
  <si>
    <t>Browser Simulation 3: Vorüberlegung Technische Umsetzung</t>
  </si>
  <si>
    <t>Browser Simulation 1: Entwicklung der Simulation</t>
  </si>
  <si>
    <t>Browser Simulation 1: Dokumentation der Umsetzung</t>
  </si>
  <si>
    <t>Browser Simulation 2: Entwicklung der Simulation</t>
  </si>
  <si>
    <t>Browser Simulation 2: Dokumentation der Umsetzung</t>
  </si>
  <si>
    <t>Browser Simulation 3: Entwicklung der Simulation</t>
  </si>
  <si>
    <t>Browser Simulation 3: Dokumentation der Umsetzung</t>
  </si>
  <si>
    <t>Einleitung schreiben</t>
  </si>
  <si>
    <t>Barrierefreiheit: Um was geht es bei Barrierefreiheit</t>
  </si>
  <si>
    <t>Barrierefreiheit: Welche WCAG Kategorien gibt es</t>
  </si>
  <si>
    <t>Barrierefreiheit: Auswahl der Umzusetzenden Effekte</t>
  </si>
  <si>
    <t>Barrierefreiheit: Verteilung der Barrieren in der Bevölkerung</t>
  </si>
  <si>
    <t>Browser auswahl: Für welchen Browser wird entwickelt. Warum? (Ausgewählte Funktionen eines Browser)</t>
  </si>
  <si>
    <t>3.10</t>
  </si>
  <si>
    <t>3.11</t>
  </si>
  <si>
    <t>3.12</t>
  </si>
  <si>
    <t>6.0</t>
  </si>
  <si>
    <t>Verteilung der Befragung  (Optional)</t>
  </si>
  <si>
    <t>Auswertung der Befragung  (Optional)</t>
  </si>
  <si>
    <t>Vorbereitung der Befragung  (Optional)</t>
  </si>
  <si>
    <t>Kontrollieren des Zeitplan (Ist noch Zeit für eine Befragung)</t>
  </si>
  <si>
    <t>4.10</t>
  </si>
  <si>
    <t>4.11</t>
  </si>
  <si>
    <t>GCE: Erweiterung Online stellen</t>
  </si>
  <si>
    <t>GCE: Dokumentation der Umsetzung</t>
  </si>
  <si>
    <t>GCE: Entwickeln des Front-End der Google Chrome Extension (GCE)</t>
  </si>
  <si>
    <t>GCE: Entwicklen der Verbindung zwischen GCE und PersonaBrowser DB (Javascript to PHP to MySQL)</t>
  </si>
  <si>
    <t>GCE: Generieren eines JSON File aus PHP (Recordset)</t>
  </si>
  <si>
    <t>GCE: Mit Javascript aus JSON File HTML generieren</t>
  </si>
  <si>
    <t>GCE: Verbinden der Simulationen mit GCE</t>
  </si>
  <si>
    <t>3.01</t>
  </si>
  <si>
    <t>3.02</t>
  </si>
  <si>
    <t>3.03</t>
  </si>
  <si>
    <t>3.04</t>
  </si>
  <si>
    <t>3.05</t>
  </si>
  <si>
    <t>3.06</t>
  </si>
  <si>
    <t>3.07</t>
  </si>
  <si>
    <t>3.08</t>
  </si>
  <si>
    <t>3.09</t>
  </si>
  <si>
    <t>4.01</t>
  </si>
  <si>
    <t>4.02</t>
  </si>
  <si>
    <t>4.03</t>
  </si>
  <si>
    <t>4.04</t>
  </si>
  <si>
    <t>4.05</t>
  </si>
  <si>
    <t>7.06</t>
  </si>
  <si>
    <t>7.05</t>
  </si>
  <si>
    <t>7.04</t>
  </si>
  <si>
    <t>7.03</t>
  </si>
  <si>
    <t>7.02</t>
  </si>
  <si>
    <t>7.01</t>
  </si>
  <si>
    <t>6.01</t>
  </si>
  <si>
    <t>5.03</t>
  </si>
  <si>
    <t>5.02</t>
  </si>
  <si>
    <t>5.01</t>
  </si>
  <si>
    <t>4.08</t>
  </si>
  <si>
    <t>4.07</t>
  </si>
  <si>
    <t>4.06</t>
  </si>
  <si>
    <t>2.05</t>
  </si>
  <si>
    <t>2.04</t>
  </si>
  <si>
    <t>2.01</t>
  </si>
  <si>
    <t>2.02</t>
  </si>
  <si>
    <t>2.03</t>
  </si>
  <si>
    <t>1.01</t>
  </si>
  <si>
    <t>0.03</t>
  </si>
  <si>
    <t>0.02</t>
  </si>
  <si>
    <t>0.01</t>
  </si>
  <si>
    <t>2.00</t>
  </si>
  <si>
    <t>1.00</t>
  </si>
  <si>
    <t>4.00</t>
  </si>
  <si>
    <t>5.00</t>
  </si>
  <si>
    <t>7.00</t>
  </si>
  <si>
    <t>3.00</t>
  </si>
  <si>
    <t>6.02</t>
  </si>
  <si>
    <t>Fazit: Ausblick auf weitere Forschung</t>
  </si>
  <si>
    <t>Fazit: Bewertung GCE</t>
  </si>
  <si>
    <t>Fazit: Bewertung Browser Simulationen</t>
  </si>
  <si>
    <t>6.03</t>
  </si>
  <si>
    <t>Abstrakt schreiben (Deutsch / Englisch)</t>
  </si>
  <si>
    <t>0.04</t>
  </si>
  <si>
    <t>Besorgen der Pflichtdokumente (Erklärungen/ Deckblatt)</t>
  </si>
  <si>
    <t>GCE: Theorie, Verteilen von GCE</t>
  </si>
  <si>
    <t>4.09</t>
  </si>
  <si>
    <t>8.00</t>
  </si>
  <si>
    <t>Abgabe der Bachelor Thesis</t>
  </si>
  <si>
    <t>Abschluss</t>
  </si>
  <si>
    <t>+2 Überlauf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</si>
  <si>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</si>
  <si>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</si>
  <si>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</si>
  <si>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</si>
  <si>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</si>
  <si>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</si>
  <si>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</si>
  <si>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</si>
  <si>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</si>
  <si>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</si>
  <si>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</si>
  <si>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</si>
  <si>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</si>
  <si>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</si>
  <si>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</si>
  <si>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</si>
  <si>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</si>
  <si>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</si>
  <si>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</si>
  <si>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</si>
  <si>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</si>
  <si>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</si>
  <si>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</si>
  <si>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</si>
  <si>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</si>
  <si>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</si>
  <si>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</si>
  <si>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</si>
  <si>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</si>
  <si>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</si>
  <si>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</si>
  <si>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</si>
  <si>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</si>
  <si>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</si>
  <si>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</si>
  <si>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</si>
  <si>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</si>
  <si>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</si>
  <si>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</si>
  <si>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</si>
  <si>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</si>
  <si>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</si>
  <si>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</si>
  <si>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</si>
  <si>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</si>
  <si>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</si>
  <si>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</si>
  <si>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</si>
  <si>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</si>
  <si>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</si>
  <si>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</si>
  <si>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</si>
  <si>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</si>
  <si>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</si>
  <si>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</si>
  <si>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</si>
  <si>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</si>
  <si>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</si>
  <si>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</si>
  <si>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</si>
  <si>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</si>
  <si>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</si>
  <si>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</si>
  <si>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</si>
  <si>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</si>
  <si>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</si>
  <si>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</si>
  <si>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</si>
  <si>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</si>
  <si>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</si>
  <si>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</si>
  <si>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</si>
  <si>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</si>
  <si>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</si>
  <si>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</si>
  <si>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</si>
  <si>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</si>
  <si>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</si>
  <si>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</si>
  <si>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</si>
  <si>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</si>
  <si>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</si>
  <si>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</si>
  <si>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</si>
  <si>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</si>
  <si>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</si>
  <si>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</si>
  <si>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</si>
  <si>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</si>
  <si>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</si>
  <si>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Drucken der Bachelor Thesis</t>
  </si>
  <si>
    <t>8.01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</si>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</sst>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C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2" fillId="2" borderId="0" xfId="0" applyFont="1" applyFill="1"/>
    <xf numFmtId="0" fontId="3" fillId="0" borderId="0" xfId="0" applyFont="1"/>
    <xf numFmtId="0" fontId="3" fillId="0" borderId="0" xfId="0" applyFont="1" applyAlignment="1">
      <alignment horizontal="center"/>
    </xf>
    <xf numFmtId="0" fontId="7" fillId="0" borderId="0" xfId="0" applyFont="1"/>
    <xf numFmtId="16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6" fillId="0" borderId="0" xfId="0" applyFont="1" applyAlignment="1"/>
    <xf numFmtId="14" fontId="3" fillId="0" borderId="0" xfId="0" applyNumberFormat="1" applyFont="1" applyAlignment="1"/>
    <xf numFmtId="0" fontId="0" fillId="3" borderId="0" xfId="0" applyFill="1" applyAlignment="1">
      <alignment horizontal="left" vertical="center" wrapText="1"/>
    </xf>
    <xf numFmtId="164" fontId="0" fillId="7" borderId="0" xfId="0" applyNumberFormat="1" applyFill="1"/>
    <xf numFmtId="164" fontId="7" fillId="4" borderId="0" xfId="0" applyNumberFormat="1" applyFont="1" applyFill="1"/>
    <xf numFmtId="0" fontId="0" fillId="5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0" borderId="0" xfId="0" applyFill="1" applyAlignment="1">
      <alignment wrapText="1"/>
    </xf>
    <xf numFmtId="0" fontId="0" fillId="6" borderId="0" xfId="0" applyFill="1" applyAlignment="1">
      <alignment wrapText="1"/>
    </xf>
    <xf numFmtId="164" fontId="0" fillId="0" borderId="0" xfId="0" applyNumberFormat="1" applyFill="1"/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49" fontId="2" fillId="2" borderId="0" xfId="0" applyNumberFormat="1" applyFont="1" applyFill="1" applyBorder="1"/>
    <xf numFmtId="0" fontId="1" fillId="2" borderId="5" xfId="0" applyFont="1" applyFill="1" applyBorder="1" applyAlignment="1">
      <alignment horizont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 wrapText="1"/>
    </xf>
    <xf numFmtId="49" fontId="2" fillId="2" borderId="7" xfId="0" applyNumberFormat="1" applyFont="1" applyFill="1" applyBorder="1" applyAlignment="1">
      <alignment horizontal="center" vertical="center"/>
    </xf>
    <xf numFmtId="49" fontId="0" fillId="2" borderId="7" xfId="0" applyNumberFormat="1" applyFill="1" applyBorder="1"/>
    <xf numFmtId="0" fontId="0" fillId="2" borderId="8" xfId="0" applyFill="1" applyBorder="1"/>
    <xf numFmtId="0" fontId="0" fillId="2" borderId="3" xfId="0" applyFill="1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49" fontId="8" fillId="0" borderId="0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 wrapText="1"/>
    </xf>
    <xf numFmtId="164" fontId="8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7" borderId="0" xfId="0" applyFont="1" applyFill="1" applyBorder="1"/>
    <xf numFmtId="0" fontId="8" fillId="0" borderId="0" xfId="0" applyFont="1" applyFill="1" applyBorder="1"/>
    <xf numFmtId="0" fontId="8" fillId="0" borderId="0" xfId="0" applyFont="1" applyBorder="1"/>
    <xf numFmtId="0" fontId="8" fillId="0" borderId="5" xfId="0" applyFont="1" applyBorder="1"/>
    <xf numFmtId="0" fontId="8" fillId="0" borderId="0" xfId="0" applyFont="1"/>
    <xf numFmtId="0" fontId="8" fillId="0" borderId="10" xfId="0" applyFont="1" applyBorder="1" applyAlignment="1">
      <alignment horizontal="center" vertical="center"/>
    </xf>
    <xf numFmtId="0" fontId="8" fillId="9" borderId="0" xfId="0" applyFont="1" applyFill="1" applyBorder="1"/>
    <xf numFmtId="0" fontId="8" fillId="8" borderId="0" xfId="0" applyFont="1" applyFill="1" applyBorder="1"/>
    <xf numFmtId="0" fontId="9" fillId="8" borderId="0" xfId="0" applyFont="1" applyFill="1" applyBorder="1"/>
    <xf numFmtId="0" fontId="8" fillId="4" borderId="0" xfId="0" applyFont="1" applyFill="1" applyBorder="1"/>
    <xf numFmtId="0" fontId="9" fillId="0" borderId="0" xfId="0" applyFont="1" applyFill="1" applyBorder="1"/>
    <xf numFmtId="0" fontId="8" fillId="5" borderId="0" xfId="0" applyFont="1" applyFill="1" applyBorder="1"/>
    <xf numFmtId="0" fontId="8" fillId="10" borderId="4" xfId="0" applyFont="1" applyFill="1" applyBorder="1" applyAlignment="1">
      <alignment horizontal="center"/>
    </xf>
    <xf numFmtId="49" fontId="8" fillId="10" borderId="0" xfId="0" applyNumberFormat="1" applyFont="1" applyFill="1" applyBorder="1" applyAlignment="1">
      <alignment horizontal="center"/>
    </xf>
    <xf numFmtId="0" fontId="8" fillId="10" borderId="0" xfId="0" applyFont="1" applyFill="1" applyBorder="1" applyAlignment="1">
      <alignment horizontal="left" vertical="center" wrapText="1"/>
    </xf>
    <xf numFmtId="164" fontId="8" fillId="10" borderId="0" xfId="0" applyNumberFormat="1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3" borderId="0" xfId="0" applyFont="1" applyFill="1" applyBorder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wrapText="1"/>
    </xf>
    <xf numFmtId="0" fontId="8" fillId="6" borderId="0" xfId="0" applyFont="1" applyFill="1" applyBorder="1"/>
    <xf numFmtId="0" fontId="8" fillId="0" borderId="6" xfId="0" applyFont="1" applyBorder="1" applyAlignment="1">
      <alignment horizontal="center"/>
    </xf>
    <xf numFmtId="49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wrapText="1"/>
    </xf>
    <xf numFmtId="0" fontId="8" fillId="0" borderId="7" xfId="0" applyFont="1" applyBorder="1" applyAlignment="1">
      <alignment horizontal="left" vertical="center" wrapText="1"/>
    </xf>
    <xf numFmtId="164" fontId="8" fillId="0" borderId="7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/>
    <xf numFmtId="0" fontId="8" fillId="0" borderId="7" xfId="0" applyFont="1" applyBorder="1"/>
    <xf numFmtId="0" fontId="8" fillId="6" borderId="7" xfId="0" applyFont="1" applyFill="1" applyBorder="1"/>
  </cellXfs>
  <cellStyles count="1">
    <cellStyle name="Standard" xfId="0" builtinId="0"/>
  </cellStyles>
  <dxfs count="25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color theme="0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5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5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5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5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elle2" displayName="Tabelle2" ref="C63:C69" totalsRowShown="0" headerRowDxfId="2" dataDxfId="1">
  <autoFilter ref="C63:C69"/>
  <tableColumns count="1">
    <tableColumn id="1" name="Spalte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CU72"/>
  <sheetViews>
    <sheetView tabSelected="1" zoomScale="70" zoomScaleNormal="70" workbookViewId="0">
      <pane xSplit="8" topLeftCell="I1" activePane="topRight" state="frozen"/>
      <selection pane="topRight" activeCell="H42" sqref="H42"/>
    </sheetView>
  </sheetViews>
  <sheetFormatPr baseColWidth="10" defaultRowHeight="15"/>
  <cols>
    <col min="1" max="1" width="4.5703125" style="2" customWidth="1"/>
    <col min="2" max="2" width="10.5703125" style="2" bestFit="1" customWidth="1"/>
    <col min="3" max="3" width="59.140625" style="10" customWidth="1"/>
    <col min="4" max="4" width="18.7109375" style="10" bestFit="1" customWidth="1"/>
    <col min="5" max="5" width="12.42578125" bestFit="1" customWidth="1"/>
    <col min="6" max="6" width="6.28515625" bestFit="1" customWidth="1"/>
    <col min="8" max="8" width="6.42578125" bestFit="1" customWidth="1"/>
    <col min="9" max="98" width="3.28515625" customWidth="1"/>
  </cols>
  <sheetData>
    <row r="1" spans="1:99" ht="21">
      <c r="A1" s="22" t="s">
        <v>10</v>
      </c>
      <c r="B1" s="22"/>
      <c r="C1" s="22"/>
      <c r="D1" s="9"/>
    </row>
    <row r="2" spans="1:99" ht="31.5">
      <c r="A2" s="11" t="s">
        <v>1</v>
      </c>
      <c r="B2" s="11"/>
      <c r="C2" s="11"/>
      <c r="D2" s="1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</row>
    <row r="3" spans="1:99" ht="15.75">
      <c r="A3" s="21" t="s">
        <v>2</v>
      </c>
      <c r="B3" s="21"/>
      <c r="C3" s="21"/>
      <c r="D3" s="6"/>
      <c r="E3" s="5" t="s">
        <v>3</v>
      </c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</row>
    <row r="4" spans="1:99" ht="16.5" thickBot="1">
      <c r="A4" s="21" t="s">
        <v>4</v>
      </c>
      <c r="B4" s="21"/>
      <c r="C4" s="21"/>
      <c r="D4" s="6"/>
      <c r="E4" s="12">
        <v>42491</v>
      </c>
      <c r="F4" s="6"/>
      <c r="G4" s="6"/>
      <c r="I4" s="8">
        <f>E4</f>
        <v>42491</v>
      </c>
      <c r="J4" s="8">
        <f>I4+1</f>
        <v>42492</v>
      </c>
      <c r="K4" s="8">
        <f t="shared" ref="K4:BV4" si="0">J4+1</f>
        <v>42493</v>
      </c>
      <c r="L4" s="8">
        <f t="shared" si="0"/>
        <v>42494</v>
      </c>
      <c r="M4" s="8">
        <f t="shared" si="0"/>
        <v>42495</v>
      </c>
      <c r="N4" s="8">
        <f t="shared" si="0"/>
        <v>42496</v>
      </c>
      <c r="O4" s="8">
        <f t="shared" si="0"/>
        <v>42497</v>
      </c>
      <c r="P4" s="8">
        <f t="shared" si="0"/>
        <v>42498</v>
      </c>
      <c r="Q4" s="8">
        <f t="shared" si="0"/>
        <v>42499</v>
      </c>
      <c r="R4" s="8">
        <f t="shared" si="0"/>
        <v>42500</v>
      </c>
      <c r="S4" s="8">
        <f t="shared" si="0"/>
        <v>42501</v>
      </c>
      <c r="T4" s="8">
        <f t="shared" si="0"/>
        <v>42502</v>
      </c>
      <c r="U4" s="8">
        <f t="shared" si="0"/>
        <v>42503</v>
      </c>
      <c r="V4" s="8">
        <f t="shared" si="0"/>
        <v>42504</v>
      </c>
      <c r="W4" s="8">
        <f t="shared" si="0"/>
        <v>42505</v>
      </c>
      <c r="X4" s="8">
        <f t="shared" si="0"/>
        <v>42506</v>
      </c>
      <c r="Y4" s="8">
        <f t="shared" si="0"/>
        <v>42507</v>
      </c>
      <c r="Z4" s="8">
        <f t="shared" si="0"/>
        <v>42508</v>
      </c>
      <c r="AA4" s="8">
        <f t="shared" si="0"/>
        <v>42509</v>
      </c>
      <c r="AB4" s="8">
        <f t="shared" si="0"/>
        <v>42510</v>
      </c>
      <c r="AC4" s="8">
        <f t="shared" si="0"/>
        <v>42511</v>
      </c>
      <c r="AD4" s="8">
        <f t="shared" si="0"/>
        <v>42512</v>
      </c>
      <c r="AE4" s="8">
        <f t="shared" si="0"/>
        <v>42513</v>
      </c>
      <c r="AF4" s="8">
        <f t="shared" si="0"/>
        <v>42514</v>
      </c>
      <c r="AG4" s="8">
        <f t="shared" si="0"/>
        <v>42515</v>
      </c>
      <c r="AH4" s="8">
        <f t="shared" si="0"/>
        <v>42516</v>
      </c>
      <c r="AI4" s="8">
        <f t="shared" si="0"/>
        <v>42517</v>
      </c>
      <c r="AJ4" s="8">
        <f t="shared" si="0"/>
        <v>42518</v>
      </c>
      <c r="AK4" s="8">
        <f t="shared" si="0"/>
        <v>42519</v>
      </c>
      <c r="AL4" s="8">
        <f t="shared" si="0"/>
        <v>42520</v>
      </c>
      <c r="AM4" s="8">
        <f t="shared" si="0"/>
        <v>42521</v>
      </c>
      <c r="AN4" s="8">
        <f t="shared" si="0"/>
        <v>42522</v>
      </c>
      <c r="AO4" s="8">
        <f t="shared" si="0"/>
        <v>42523</v>
      </c>
      <c r="AP4" s="8">
        <f t="shared" si="0"/>
        <v>42524</v>
      </c>
      <c r="AQ4" s="8">
        <f t="shared" si="0"/>
        <v>42525</v>
      </c>
      <c r="AR4" s="8">
        <f t="shared" si="0"/>
        <v>42526</v>
      </c>
      <c r="AS4" s="8">
        <f t="shared" si="0"/>
        <v>42527</v>
      </c>
      <c r="AT4" s="8">
        <f t="shared" si="0"/>
        <v>42528</v>
      </c>
      <c r="AU4" s="8">
        <f t="shared" si="0"/>
        <v>42529</v>
      </c>
      <c r="AV4" s="8">
        <f t="shared" si="0"/>
        <v>42530</v>
      </c>
      <c r="AW4" s="8">
        <f t="shared" si="0"/>
        <v>42531</v>
      </c>
      <c r="AX4" s="8">
        <f t="shared" si="0"/>
        <v>42532</v>
      </c>
      <c r="AY4" s="8">
        <f t="shared" si="0"/>
        <v>42533</v>
      </c>
      <c r="AZ4" s="8">
        <f t="shared" si="0"/>
        <v>42534</v>
      </c>
      <c r="BA4" s="8">
        <f t="shared" si="0"/>
        <v>42535</v>
      </c>
      <c r="BB4" s="8">
        <f t="shared" si="0"/>
        <v>42536</v>
      </c>
      <c r="BC4" s="8">
        <f t="shared" si="0"/>
        <v>42537</v>
      </c>
      <c r="BD4" s="8">
        <f t="shared" si="0"/>
        <v>42538</v>
      </c>
      <c r="BE4" s="8">
        <f t="shared" si="0"/>
        <v>42539</v>
      </c>
      <c r="BF4" s="8">
        <f t="shared" si="0"/>
        <v>42540</v>
      </c>
      <c r="BG4" s="8">
        <f t="shared" si="0"/>
        <v>42541</v>
      </c>
      <c r="BH4" s="8">
        <f t="shared" si="0"/>
        <v>42542</v>
      </c>
      <c r="BI4" s="8">
        <f t="shared" si="0"/>
        <v>42543</v>
      </c>
      <c r="BJ4" s="8">
        <f t="shared" si="0"/>
        <v>42544</v>
      </c>
      <c r="BK4" s="8">
        <f t="shared" si="0"/>
        <v>42545</v>
      </c>
      <c r="BL4" s="8">
        <f t="shared" si="0"/>
        <v>42546</v>
      </c>
      <c r="BM4" s="8">
        <f t="shared" si="0"/>
        <v>42547</v>
      </c>
      <c r="BN4" s="8">
        <f t="shared" si="0"/>
        <v>42548</v>
      </c>
      <c r="BO4" s="8">
        <f t="shared" si="0"/>
        <v>42549</v>
      </c>
      <c r="BP4" s="8">
        <f t="shared" si="0"/>
        <v>42550</v>
      </c>
      <c r="BQ4" s="8">
        <f t="shared" si="0"/>
        <v>42551</v>
      </c>
      <c r="BR4" s="8">
        <f t="shared" si="0"/>
        <v>42552</v>
      </c>
      <c r="BS4" s="8">
        <f t="shared" si="0"/>
        <v>42553</v>
      </c>
      <c r="BT4" s="8">
        <f t="shared" si="0"/>
        <v>42554</v>
      </c>
      <c r="BU4" s="8">
        <f t="shared" si="0"/>
        <v>42555</v>
      </c>
      <c r="BV4" s="8">
        <f t="shared" si="0"/>
        <v>42556</v>
      </c>
      <c r="BW4" s="8">
        <f t="shared" ref="BW4:CU4" si="1">BV4+1</f>
        <v>42557</v>
      </c>
      <c r="BX4" s="8">
        <f t="shared" si="1"/>
        <v>42558</v>
      </c>
      <c r="BY4" s="8">
        <f t="shared" si="1"/>
        <v>42559</v>
      </c>
      <c r="BZ4" s="8">
        <f t="shared" si="1"/>
        <v>42560</v>
      </c>
      <c r="CA4" s="8">
        <f t="shared" si="1"/>
        <v>42561</v>
      </c>
      <c r="CB4" s="8">
        <f t="shared" si="1"/>
        <v>42562</v>
      </c>
      <c r="CC4" s="8">
        <f t="shared" si="1"/>
        <v>42563</v>
      </c>
      <c r="CD4" s="8">
        <f t="shared" si="1"/>
        <v>42564</v>
      </c>
      <c r="CE4" s="8">
        <f t="shared" si="1"/>
        <v>42565</v>
      </c>
      <c r="CF4" s="8">
        <f t="shared" si="1"/>
        <v>42566</v>
      </c>
      <c r="CG4" s="8">
        <f t="shared" si="1"/>
        <v>42567</v>
      </c>
      <c r="CH4" s="8">
        <f t="shared" si="1"/>
        <v>42568</v>
      </c>
      <c r="CI4" s="8">
        <f t="shared" si="1"/>
        <v>42569</v>
      </c>
      <c r="CJ4" s="8">
        <f t="shared" si="1"/>
        <v>42570</v>
      </c>
      <c r="CK4" s="8">
        <f t="shared" si="1"/>
        <v>42571</v>
      </c>
      <c r="CL4" s="8">
        <f t="shared" si="1"/>
        <v>42572</v>
      </c>
      <c r="CM4" s="8">
        <f t="shared" si="1"/>
        <v>42573</v>
      </c>
      <c r="CN4" s="8">
        <f t="shared" si="1"/>
        <v>42574</v>
      </c>
      <c r="CO4" s="8">
        <f t="shared" si="1"/>
        <v>42575</v>
      </c>
      <c r="CP4" s="8">
        <f t="shared" si="1"/>
        <v>42576</v>
      </c>
      <c r="CQ4" s="8">
        <f t="shared" si="1"/>
        <v>42577</v>
      </c>
      <c r="CR4" s="8">
        <f t="shared" si="1"/>
        <v>42578</v>
      </c>
      <c r="CS4" s="8">
        <f t="shared" si="1"/>
        <v>42579</v>
      </c>
      <c r="CT4" s="8">
        <f t="shared" si="1"/>
        <v>42580</v>
      </c>
      <c r="CU4" s="8">
        <f t="shared" si="1"/>
        <v>42581</v>
      </c>
    </row>
    <row r="5" spans="1:99" s="3" customFormat="1">
      <c r="A5" s="23"/>
      <c r="B5" s="24"/>
      <c r="C5" s="24"/>
      <c r="D5" s="24"/>
      <c r="E5" s="24"/>
      <c r="F5" s="24"/>
      <c r="G5" s="24"/>
      <c r="H5" s="38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6"/>
    </row>
    <row r="6" spans="1:99" s="4" customFormat="1">
      <c r="A6" s="27" t="s">
        <v>5</v>
      </c>
      <c r="B6" s="28" t="s">
        <v>33</v>
      </c>
      <c r="C6" s="29" t="s">
        <v>0</v>
      </c>
      <c r="D6" s="29" t="s">
        <v>29</v>
      </c>
      <c r="E6" s="28" t="s">
        <v>6</v>
      </c>
      <c r="F6" s="28" t="s">
        <v>7</v>
      </c>
      <c r="G6" s="28" t="s">
        <v>8</v>
      </c>
      <c r="H6" s="39" t="s">
        <v>9</v>
      </c>
      <c r="I6" s="30" t="s">
        <v>125</v>
      </c>
      <c r="J6" s="30" t="s">
        <v>126</v>
      </c>
      <c r="K6" s="30" t="s">
        <v>127</v>
      </c>
      <c r="L6" s="30" t="s">
        <v>128</v>
      </c>
      <c r="M6" s="30" t="s">
        <v>129</v>
      </c>
      <c r="N6" s="30" t="s">
        <v>130</v>
      </c>
      <c r="O6" s="30" t="s">
        <v>131</v>
      </c>
      <c r="P6" s="30" t="s">
        <v>132</v>
      </c>
      <c r="Q6" s="30" t="s">
        <v>133</v>
      </c>
      <c r="R6" s="30" t="s">
        <v>134</v>
      </c>
      <c r="S6" s="30" t="s">
        <v>135</v>
      </c>
      <c r="T6" s="30" t="s">
        <v>136</v>
      </c>
      <c r="U6" s="30" t="s">
        <v>137</v>
      </c>
      <c r="V6" s="30" t="s">
        <v>138</v>
      </c>
      <c r="W6" s="30" t="s">
        <v>139</v>
      </c>
      <c r="X6" s="30" t="s">
        <v>140</v>
      </c>
      <c r="Y6" s="30" t="s">
        <v>141</v>
      </c>
      <c r="Z6" s="30" t="s">
        <v>142</v>
      </c>
      <c r="AA6" s="30" t="s">
        <v>143</v>
      </c>
      <c r="AB6" s="30" t="s">
        <v>144</v>
      </c>
      <c r="AC6" s="30" t="s">
        <v>145</v>
      </c>
      <c r="AD6" s="30" t="s">
        <v>146</v>
      </c>
      <c r="AE6" s="30" t="s">
        <v>147</v>
      </c>
      <c r="AF6" s="30" t="s">
        <v>148</v>
      </c>
      <c r="AG6" s="30" t="s">
        <v>149</v>
      </c>
      <c r="AH6" s="30" t="s">
        <v>150</v>
      </c>
      <c r="AI6" s="30" t="s">
        <v>151</v>
      </c>
      <c r="AJ6" s="30" t="s">
        <v>152</v>
      </c>
      <c r="AK6" s="30" t="s">
        <v>153</v>
      </c>
      <c r="AL6" s="30" t="s">
        <v>154</v>
      </c>
      <c r="AM6" s="30" t="s">
        <v>155</v>
      </c>
      <c r="AN6" s="30" t="s">
        <v>156</v>
      </c>
      <c r="AO6" s="30" t="s">
        <v>157</v>
      </c>
      <c r="AP6" s="30" t="s">
        <v>158</v>
      </c>
      <c r="AQ6" s="30" t="s">
        <v>159</v>
      </c>
      <c r="AR6" s="30" t="s">
        <v>160</v>
      </c>
      <c r="AS6" s="30" t="s">
        <v>161</v>
      </c>
      <c r="AT6" s="30" t="s">
        <v>162</v>
      </c>
      <c r="AU6" s="30" t="s">
        <v>163</v>
      </c>
      <c r="AV6" s="30" t="s">
        <v>164</v>
      </c>
      <c r="AW6" s="30" t="s">
        <v>165</v>
      </c>
      <c r="AX6" s="30" t="s">
        <v>166</v>
      </c>
      <c r="AY6" s="30" t="s">
        <v>167</v>
      </c>
      <c r="AZ6" s="30" t="s">
        <v>168</v>
      </c>
      <c r="BA6" s="30" t="s">
        <v>169</v>
      </c>
      <c r="BB6" s="30" t="s">
        <v>170</v>
      </c>
      <c r="BC6" s="30" t="s">
        <v>171</v>
      </c>
      <c r="BD6" s="30" t="s">
        <v>172</v>
      </c>
      <c r="BE6" s="30" t="s">
        <v>173</v>
      </c>
      <c r="BF6" s="30" t="s">
        <v>174</v>
      </c>
      <c r="BG6" s="30" t="s">
        <v>175</v>
      </c>
      <c r="BH6" s="30" t="s">
        <v>176</v>
      </c>
      <c r="BI6" s="30" t="s">
        <v>177</v>
      </c>
      <c r="BJ6" s="30" t="s">
        <v>178</v>
      </c>
      <c r="BK6" s="30" t="s">
        <v>179</v>
      </c>
      <c r="BL6" s="30" t="s">
        <v>180</v>
      </c>
      <c r="BM6" s="30" t="s">
        <v>181</v>
      </c>
      <c r="BN6" s="30" t="s">
        <v>182</v>
      </c>
      <c r="BO6" s="30" t="s">
        <v>183</v>
      </c>
      <c r="BP6" s="30" t="s">
        <v>184</v>
      </c>
      <c r="BQ6" s="30" t="s">
        <v>185</v>
      </c>
      <c r="BR6" s="30" t="s">
        <v>186</v>
      </c>
      <c r="BS6" s="30" t="s">
        <v>187</v>
      </c>
      <c r="BT6" s="30" t="s">
        <v>188</v>
      </c>
      <c r="BU6" s="30" t="s">
        <v>189</v>
      </c>
      <c r="BV6" s="30" t="s">
        <v>190</v>
      </c>
      <c r="BW6" s="30" t="s">
        <v>191</v>
      </c>
      <c r="BX6" s="30" t="s">
        <v>192</v>
      </c>
      <c r="BY6" s="30" t="s">
        <v>193</v>
      </c>
      <c r="BZ6" s="30" t="s">
        <v>194</v>
      </c>
      <c r="CA6" s="30" t="s">
        <v>195</v>
      </c>
      <c r="CB6" s="30" t="s">
        <v>196</v>
      </c>
      <c r="CC6" s="30" t="s">
        <v>197</v>
      </c>
      <c r="CD6" s="30" t="s">
        <v>198</v>
      </c>
      <c r="CE6" s="30" t="s">
        <v>199</v>
      </c>
      <c r="CF6" s="30" t="s">
        <v>200</v>
      </c>
      <c r="CG6" s="30" t="s">
        <v>201</v>
      </c>
      <c r="CH6" s="30" t="s">
        <v>202</v>
      </c>
      <c r="CI6" s="30" t="s">
        <v>203</v>
      </c>
      <c r="CJ6" s="30" t="s">
        <v>204</v>
      </c>
      <c r="CK6" s="30" t="s">
        <v>205</v>
      </c>
      <c r="CL6" s="30" t="s">
        <v>206</v>
      </c>
      <c r="CM6" s="30" t="s">
        <v>207</v>
      </c>
      <c r="CN6" s="30" t="s">
        <v>208</v>
      </c>
      <c r="CO6" s="30" t="s">
        <v>209</v>
      </c>
      <c r="CP6" s="30" t="s">
        <v>210</v>
      </c>
      <c r="CQ6" s="30" t="s">
        <v>211</v>
      </c>
      <c r="CR6" s="30" t="s">
        <v>212</v>
      </c>
      <c r="CS6" s="30" t="s">
        <v>213</v>
      </c>
      <c r="CT6" s="30" t="s">
        <v>214</v>
      </c>
      <c r="CU6" s="31" t="s">
        <v>21</v>
      </c>
    </row>
    <row r="7" spans="1:99" s="3" customFormat="1" ht="15.75" thickBot="1">
      <c r="A7" s="32"/>
      <c r="B7" s="33"/>
      <c r="C7" s="34"/>
      <c r="D7" s="34"/>
      <c r="E7" s="35" t="s">
        <v>124</v>
      </c>
      <c r="F7" s="35"/>
      <c r="G7" s="35"/>
      <c r="H7" s="40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7"/>
    </row>
    <row r="8" spans="1:99" s="51" customFormat="1" ht="26.25" customHeight="1">
      <c r="A8" s="41">
        <v>1</v>
      </c>
      <c r="B8" s="42" t="s">
        <v>104</v>
      </c>
      <c r="C8" s="43" t="s">
        <v>12</v>
      </c>
      <c r="D8" s="43" t="s">
        <v>22</v>
      </c>
      <c r="E8" s="44">
        <f>E4</f>
        <v>42491</v>
      </c>
      <c r="F8" s="45">
        <v>2</v>
      </c>
      <c r="G8" s="44">
        <f>E8+F8</f>
        <v>42493</v>
      </c>
      <c r="H8" s="46" t="s">
        <v>11</v>
      </c>
      <c r="I8" s="47"/>
      <c r="J8" s="47"/>
      <c r="K8" s="48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  <c r="AO8" s="49"/>
      <c r="AP8" s="49"/>
      <c r="AQ8" s="49"/>
      <c r="AR8" s="49"/>
      <c r="AS8" s="49"/>
      <c r="AT8" s="49"/>
      <c r="AU8" s="49"/>
      <c r="AV8" s="49"/>
      <c r="AW8" s="49"/>
      <c r="AX8" s="49"/>
      <c r="AY8" s="49"/>
      <c r="AZ8" s="49"/>
      <c r="BA8" s="49"/>
      <c r="BB8" s="49"/>
      <c r="BC8" s="49"/>
      <c r="BD8" s="49"/>
      <c r="BE8" s="49"/>
      <c r="BF8" s="49"/>
      <c r="BG8" s="49"/>
      <c r="BH8" s="49"/>
      <c r="BI8" s="49"/>
      <c r="BJ8" s="49"/>
      <c r="BK8" s="49"/>
      <c r="BL8" s="49"/>
      <c r="BM8" s="49"/>
      <c r="BN8" s="49"/>
      <c r="BO8" s="49"/>
      <c r="BP8" s="49"/>
      <c r="BQ8" s="49"/>
      <c r="BR8" s="49"/>
      <c r="BS8" s="49"/>
      <c r="BT8" s="49"/>
      <c r="BU8" s="49"/>
      <c r="BV8" s="49"/>
      <c r="BW8" s="49"/>
      <c r="BX8" s="49"/>
      <c r="BY8" s="49"/>
      <c r="BZ8" s="49"/>
      <c r="CA8" s="49"/>
      <c r="CB8" s="49"/>
      <c r="CC8" s="49"/>
      <c r="CD8" s="49"/>
      <c r="CE8" s="49"/>
      <c r="CF8" s="49"/>
      <c r="CG8" s="49"/>
      <c r="CH8" s="49"/>
      <c r="CI8" s="49"/>
      <c r="CJ8" s="49"/>
      <c r="CK8" s="49"/>
      <c r="CL8" s="49"/>
      <c r="CM8" s="49"/>
      <c r="CN8" s="49"/>
      <c r="CO8" s="49"/>
      <c r="CP8" s="49"/>
      <c r="CQ8" s="49"/>
      <c r="CR8" s="49"/>
      <c r="CS8" s="49"/>
      <c r="CT8" s="49"/>
      <c r="CU8" s="50"/>
    </row>
    <row r="9" spans="1:99" s="51" customFormat="1" ht="26.25" customHeight="1">
      <c r="A9" s="41">
        <v>2</v>
      </c>
      <c r="B9" s="42" t="s">
        <v>103</v>
      </c>
      <c r="C9" s="43" t="s">
        <v>13</v>
      </c>
      <c r="D9" s="43" t="s">
        <v>22</v>
      </c>
      <c r="E9" s="44">
        <f>G8</f>
        <v>42493</v>
      </c>
      <c r="F9" s="45">
        <v>1</v>
      </c>
      <c r="G9" s="44">
        <f>E9+F9</f>
        <v>42494</v>
      </c>
      <c r="H9" s="52" t="s">
        <v>11</v>
      </c>
      <c r="I9" s="48"/>
      <c r="J9" s="47"/>
      <c r="K9" s="48"/>
      <c r="L9" s="48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49"/>
      <c r="BE9" s="49"/>
      <c r="BF9" s="49"/>
      <c r="BG9" s="49"/>
      <c r="BH9" s="49"/>
      <c r="BI9" s="49"/>
      <c r="BJ9" s="49"/>
      <c r="BK9" s="49"/>
      <c r="BL9" s="49"/>
      <c r="BM9" s="49"/>
      <c r="BN9" s="49"/>
      <c r="BO9" s="49"/>
      <c r="BP9" s="49"/>
      <c r="BQ9" s="49"/>
      <c r="BR9" s="49"/>
      <c r="BS9" s="49"/>
      <c r="BT9" s="49"/>
      <c r="BU9" s="49"/>
      <c r="BV9" s="49"/>
      <c r="BW9" s="49"/>
      <c r="BX9" s="49"/>
      <c r="BY9" s="49"/>
      <c r="BZ9" s="49"/>
      <c r="CA9" s="49"/>
      <c r="CB9" s="49"/>
      <c r="CC9" s="49"/>
      <c r="CD9" s="49"/>
      <c r="CE9" s="49"/>
      <c r="CF9" s="49"/>
      <c r="CG9" s="49"/>
      <c r="CH9" s="49"/>
      <c r="CI9" s="49"/>
      <c r="CJ9" s="49"/>
      <c r="CK9" s="49"/>
      <c r="CL9" s="49"/>
      <c r="CM9" s="49"/>
      <c r="CN9" s="49"/>
      <c r="CO9" s="49"/>
      <c r="CP9" s="49"/>
      <c r="CQ9" s="49"/>
      <c r="CR9" s="49"/>
      <c r="CS9" s="49"/>
      <c r="CT9" s="49"/>
      <c r="CU9" s="50"/>
    </row>
    <row r="10" spans="1:99" s="51" customFormat="1" ht="26.25" customHeight="1">
      <c r="A10" s="41">
        <v>3</v>
      </c>
      <c r="B10" s="42" t="s">
        <v>102</v>
      </c>
      <c r="C10" s="43" t="s">
        <v>16</v>
      </c>
      <c r="D10" s="43" t="s">
        <v>22</v>
      </c>
      <c r="E10" s="44">
        <f>G9</f>
        <v>42494</v>
      </c>
      <c r="F10" s="45">
        <v>1</v>
      </c>
      <c r="G10" s="44">
        <f>E10+F10</f>
        <v>42495</v>
      </c>
      <c r="H10" s="52"/>
      <c r="I10" s="48"/>
      <c r="J10" s="47"/>
      <c r="K10" s="48"/>
      <c r="L10" s="48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  <c r="BE10" s="49"/>
      <c r="BF10" s="49"/>
      <c r="BG10" s="49"/>
      <c r="BH10" s="49"/>
      <c r="BI10" s="49"/>
      <c r="BJ10" s="49"/>
      <c r="BK10" s="49"/>
      <c r="BL10" s="49"/>
      <c r="BM10" s="49"/>
      <c r="BN10" s="49"/>
      <c r="BO10" s="49"/>
      <c r="BP10" s="49"/>
      <c r="BQ10" s="49"/>
      <c r="BR10" s="49"/>
      <c r="BS10" s="49"/>
      <c r="BT10" s="49"/>
      <c r="BU10" s="49"/>
      <c r="BV10" s="49"/>
      <c r="BW10" s="49"/>
      <c r="BX10" s="49"/>
      <c r="BY10" s="49"/>
      <c r="BZ10" s="49"/>
      <c r="CA10" s="49"/>
      <c r="CB10" s="49"/>
      <c r="CC10" s="49"/>
      <c r="CD10" s="49"/>
      <c r="CE10" s="49"/>
      <c r="CF10" s="49"/>
      <c r="CG10" s="49"/>
      <c r="CH10" s="49"/>
      <c r="CI10" s="49"/>
      <c r="CJ10" s="49"/>
      <c r="CK10" s="49"/>
      <c r="CL10" s="49"/>
      <c r="CM10" s="49"/>
      <c r="CN10" s="49"/>
      <c r="CO10" s="49"/>
      <c r="CP10" s="49"/>
      <c r="CQ10" s="49"/>
      <c r="CR10" s="49"/>
      <c r="CS10" s="49"/>
      <c r="CT10" s="49"/>
      <c r="CU10" s="50"/>
    </row>
    <row r="11" spans="1:99" s="51" customFormat="1" ht="26.25" customHeight="1">
      <c r="A11" s="41">
        <v>4</v>
      </c>
      <c r="B11" s="42" t="s">
        <v>117</v>
      </c>
      <c r="C11" s="43" t="s">
        <v>118</v>
      </c>
      <c r="D11" s="43" t="s">
        <v>22</v>
      </c>
      <c r="E11" s="44">
        <f t="shared" ref="E11:E60" si="2">G10</f>
        <v>42495</v>
      </c>
      <c r="F11" s="45">
        <v>2</v>
      </c>
      <c r="G11" s="44">
        <f t="shared" ref="G11:G60" si="3">E11+F11</f>
        <v>42497</v>
      </c>
      <c r="H11" s="52" t="s">
        <v>11</v>
      </c>
      <c r="I11" s="49"/>
      <c r="J11" s="49"/>
      <c r="K11" s="47"/>
      <c r="L11" s="47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  <c r="CG11" s="49"/>
      <c r="CH11" s="49"/>
      <c r="CI11" s="49"/>
      <c r="CJ11" s="49"/>
      <c r="CK11" s="49"/>
      <c r="CL11" s="49"/>
      <c r="CM11" s="49"/>
      <c r="CN11" s="49"/>
      <c r="CO11" s="49"/>
      <c r="CP11" s="49"/>
      <c r="CQ11" s="49"/>
      <c r="CR11" s="49"/>
      <c r="CS11" s="49"/>
      <c r="CT11" s="49"/>
      <c r="CU11" s="50"/>
    </row>
    <row r="12" spans="1:99" s="51" customFormat="1" ht="26.25" customHeight="1">
      <c r="A12" s="41">
        <v>5</v>
      </c>
      <c r="B12" s="42" t="s">
        <v>106</v>
      </c>
      <c r="C12" s="43" t="s">
        <v>46</v>
      </c>
      <c r="D12" s="43" t="s">
        <v>31</v>
      </c>
      <c r="E12" s="44">
        <f t="shared" si="2"/>
        <v>42497</v>
      </c>
      <c r="F12" s="45">
        <v>3</v>
      </c>
      <c r="G12" s="44">
        <f t="shared" si="3"/>
        <v>42500</v>
      </c>
      <c r="H12" s="52"/>
      <c r="I12" s="49"/>
      <c r="J12" s="49"/>
      <c r="K12" s="49"/>
      <c r="L12" s="49"/>
      <c r="M12" s="53"/>
      <c r="N12" s="53"/>
      <c r="O12" s="53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49"/>
      <c r="BE12" s="49"/>
      <c r="BF12" s="49"/>
      <c r="BG12" s="49"/>
      <c r="BH12" s="49"/>
      <c r="BI12" s="49"/>
      <c r="BJ12" s="49"/>
      <c r="BK12" s="49"/>
      <c r="BL12" s="49"/>
      <c r="BM12" s="49"/>
      <c r="BN12" s="49"/>
      <c r="BO12" s="49"/>
      <c r="BP12" s="49"/>
      <c r="BQ12" s="49"/>
      <c r="BR12" s="49"/>
      <c r="BS12" s="49"/>
      <c r="BT12" s="49"/>
      <c r="BU12" s="49"/>
      <c r="BV12" s="49"/>
      <c r="BW12" s="49"/>
      <c r="BX12" s="49"/>
      <c r="BY12" s="49"/>
      <c r="BZ12" s="49"/>
      <c r="CA12" s="49"/>
      <c r="CB12" s="49"/>
      <c r="CC12" s="49"/>
      <c r="CD12" s="49"/>
      <c r="CE12" s="49"/>
      <c r="CF12" s="49"/>
      <c r="CG12" s="49"/>
      <c r="CH12" s="49"/>
      <c r="CI12" s="49"/>
      <c r="CJ12" s="49"/>
      <c r="CK12" s="49"/>
      <c r="CL12" s="49"/>
      <c r="CM12" s="49"/>
      <c r="CN12" s="49"/>
      <c r="CO12" s="49"/>
      <c r="CP12" s="49"/>
      <c r="CQ12" s="49"/>
      <c r="CR12" s="49"/>
      <c r="CS12" s="49"/>
      <c r="CT12" s="49"/>
      <c r="CU12" s="50"/>
    </row>
    <row r="13" spans="1:99" s="51" customFormat="1" ht="26.25" customHeight="1">
      <c r="A13" s="41">
        <v>6</v>
      </c>
      <c r="B13" s="42" t="s">
        <v>101</v>
      </c>
      <c r="C13" s="43" t="s">
        <v>32</v>
      </c>
      <c r="D13" s="43" t="s">
        <v>22</v>
      </c>
      <c r="E13" s="44">
        <f t="shared" si="2"/>
        <v>42500</v>
      </c>
      <c r="F13" s="45">
        <v>2</v>
      </c>
      <c r="G13" s="44">
        <f t="shared" si="3"/>
        <v>42502</v>
      </c>
      <c r="H13" s="52" t="s">
        <v>11</v>
      </c>
      <c r="I13" s="49"/>
      <c r="J13" s="49"/>
      <c r="K13" s="49"/>
      <c r="L13" s="49"/>
      <c r="M13" s="49"/>
      <c r="N13" s="49"/>
      <c r="O13" s="47"/>
      <c r="P13" s="47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49"/>
      <c r="BU13" s="49"/>
      <c r="BV13" s="49"/>
      <c r="BW13" s="49"/>
      <c r="BX13" s="49"/>
      <c r="BY13" s="49"/>
      <c r="BZ13" s="49"/>
      <c r="CA13" s="49"/>
      <c r="CB13" s="49"/>
      <c r="CC13" s="49"/>
      <c r="CD13" s="49"/>
      <c r="CE13" s="49"/>
      <c r="CF13" s="49"/>
      <c r="CG13" s="49"/>
      <c r="CH13" s="49"/>
      <c r="CI13" s="49"/>
      <c r="CJ13" s="49"/>
      <c r="CK13" s="49"/>
      <c r="CL13" s="49"/>
      <c r="CM13" s="49"/>
      <c r="CN13" s="49"/>
      <c r="CO13" s="49"/>
      <c r="CP13" s="49"/>
      <c r="CQ13" s="49"/>
      <c r="CR13" s="49"/>
      <c r="CS13" s="49"/>
      <c r="CT13" s="49"/>
      <c r="CU13" s="50"/>
    </row>
    <row r="14" spans="1:99" s="51" customFormat="1" ht="26.25" customHeight="1">
      <c r="A14" s="41">
        <v>7</v>
      </c>
      <c r="B14" s="42" t="s">
        <v>105</v>
      </c>
      <c r="C14" s="43" t="s">
        <v>15</v>
      </c>
      <c r="D14" s="43" t="s">
        <v>14</v>
      </c>
      <c r="E14" s="44">
        <f t="shared" si="2"/>
        <v>42502</v>
      </c>
      <c r="F14" s="45">
        <v>3</v>
      </c>
      <c r="G14" s="44">
        <f t="shared" si="3"/>
        <v>42505</v>
      </c>
      <c r="H14" s="52"/>
      <c r="I14" s="49"/>
      <c r="J14" s="49"/>
      <c r="K14" s="49"/>
      <c r="L14" s="49"/>
      <c r="M14" s="49"/>
      <c r="N14" s="49"/>
      <c r="O14" s="49"/>
      <c r="P14" s="54"/>
      <c r="Q14" s="54"/>
      <c r="R14" s="54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49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49"/>
      <c r="BP14" s="49"/>
      <c r="BQ14" s="49"/>
      <c r="BR14" s="49"/>
      <c r="BS14" s="49"/>
      <c r="BT14" s="49"/>
      <c r="BU14" s="49"/>
      <c r="BV14" s="49"/>
      <c r="BW14" s="49"/>
      <c r="BX14" s="49"/>
      <c r="BY14" s="49"/>
      <c r="BZ14" s="49"/>
      <c r="CA14" s="49"/>
      <c r="CB14" s="49"/>
      <c r="CC14" s="49"/>
      <c r="CD14" s="49"/>
      <c r="CE14" s="49"/>
      <c r="CF14" s="49"/>
      <c r="CG14" s="49"/>
      <c r="CH14" s="49"/>
      <c r="CI14" s="49"/>
      <c r="CJ14" s="49"/>
      <c r="CK14" s="49"/>
      <c r="CL14" s="49"/>
      <c r="CM14" s="49"/>
      <c r="CN14" s="49"/>
      <c r="CO14" s="49"/>
      <c r="CP14" s="49"/>
      <c r="CQ14" s="49"/>
      <c r="CR14" s="49"/>
      <c r="CS14" s="49"/>
      <c r="CT14" s="49"/>
      <c r="CU14" s="50"/>
    </row>
    <row r="15" spans="1:99" s="51" customFormat="1" ht="26.25" customHeight="1">
      <c r="A15" s="41">
        <v>8</v>
      </c>
      <c r="B15" s="42" t="s">
        <v>98</v>
      </c>
      <c r="C15" s="43" t="s">
        <v>47</v>
      </c>
      <c r="D15" s="43" t="s">
        <v>31</v>
      </c>
      <c r="E15" s="44">
        <f t="shared" si="2"/>
        <v>42505</v>
      </c>
      <c r="F15" s="45">
        <v>3</v>
      </c>
      <c r="G15" s="44">
        <f t="shared" si="3"/>
        <v>42508</v>
      </c>
      <c r="H15" s="52"/>
      <c r="I15" s="49"/>
      <c r="J15" s="49"/>
      <c r="K15" s="49"/>
      <c r="L15" s="49"/>
      <c r="M15" s="49"/>
      <c r="N15" s="49"/>
      <c r="O15" s="49"/>
      <c r="P15" s="49"/>
      <c r="Q15" s="49"/>
      <c r="R15" s="53"/>
      <c r="S15" s="53"/>
      <c r="T15" s="53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49"/>
      <c r="BF15" s="49"/>
      <c r="BG15" s="49"/>
      <c r="BH15" s="49"/>
      <c r="BI15" s="49"/>
      <c r="BJ15" s="49"/>
      <c r="BK15" s="49"/>
      <c r="BL15" s="49"/>
      <c r="BM15" s="49"/>
      <c r="BN15" s="49"/>
      <c r="BO15" s="49"/>
      <c r="BP15" s="49"/>
      <c r="BQ15" s="49"/>
      <c r="BR15" s="49"/>
      <c r="BS15" s="49"/>
      <c r="BT15" s="49"/>
      <c r="BU15" s="49"/>
      <c r="BV15" s="49"/>
      <c r="BW15" s="49"/>
      <c r="BX15" s="49"/>
      <c r="BY15" s="49"/>
      <c r="BZ15" s="49"/>
      <c r="CA15" s="49"/>
      <c r="CB15" s="49"/>
      <c r="CC15" s="49"/>
      <c r="CD15" s="49"/>
      <c r="CE15" s="49"/>
      <c r="CF15" s="49"/>
      <c r="CG15" s="49"/>
      <c r="CH15" s="49"/>
      <c r="CI15" s="49"/>
      <c r="CJ15" s="49"/>
      <c r="CK15" s="49"/>
      <c r="CL15" s="49"/>
      <c r="CM15" s="49"/>
      <c r="CN15" s="49"/>
      <c r="CO15" s="49"/>
      <c r="CP15" s="49"/>
      <c r="CQ15" s="49"/>
      <c r="CR15" s="49"/>
      <c r="CS15" s="49"/>
      <c r="CT15" s="49"/>
      <c r="CU15" s="50"/>
    </row>
    <row r="16" spans="1:99" s="51" customFormat="1" ht="26.25" customHeight="1">
      <c r="A16" s="41">
        <v>9</v>
      </c>
      <c r="B16" s="42" t="s">
        <v>99</v>
      </c>
      <c r="C16" s="43" t="s">
        <v>48</v>
      </c>
      <c r="D16" s="43" t="s">
        <v>31</v>
      </c>
      <c r="E16" s="44">
        <f t="shared" si="2"/>
        <v>42508</v>
      </c>
      <c r="F16" s="45">
        <v>3</v>
      </c>
      <c r="G16" s="44">
        <f t="shared" si="3"/>
        <v>42511</v>
      </c>
      <c r="H16" s="52"/>
      <c r="I16" s="49"/>
      <c r="J16" s="49"/>
      <c r="K16" s="49"/>
      <c r="L16" s="49"/>
      <c r="M16" s="49"/>
      <c r="N16" s="49"/>
      <c r="O16" s="49"/>
      <c r="P16" s="49"/>
      <c r="Q16" s="49"/>
      <c r="R16" s="53"/>
      <c r="S16" s="53"/>
      <c r="T16" s="53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/>
      <c r="AW16" s="49"/>
      <c r="AX16" s="49"/>
      <c r="AY16" s="49"/>
      <c r="AZ16" s="49"/>
      <c r="BA16" s="49"/>
      <c r="BB16" s="49"/>
      <c r="BC16" s="49"/>
      <c r="BD16" s="49"/>
      <c r="BE16" s="49"/>
      <c r="BF16" s="49"/>
      <c r="BG16" s="49"/>
      <c r="BH16" s="49"/>
      <c r="BI16" s="49"/>
      <c r="BJ16" s="49"/>
      <c r="BK16" s="49"/>
      <c r="BL16" s="49"/>
      <c r="BM16" s="49"/>
      <c r="BN16" s="49"/>
      <c r="BO16" s="49"/>
      <c r="BP16" s="49"/>
      <c r="BQ16" s="49"/>
      <c r="BR16" s="49"/>
      <c r="BS16" s="49"/>
      <c r="BT16" s="49"/>
      <c r="BU16" s="49"/>
      <c r="BV16" s="49"/>
      <c r="BW16" s="49"/>
      <c r="BX16" s="49"/>
      <c r="BY16" s="49"/>
      <c r="BZ16" s="49"/>
      <c r="CA16" s="49"/>
      <c r="CB16" s="49"/>
      <c r="CC16" s="49"/>
      <c r="CD16" s="49"/>
      <c r="CE16" s="49"/>
      <c r="CF16" s="49"/>
      <c r="CG16" s="49"/>
      <c r="CH16" s="49"/>
      <c r="CI16" s="49"/>
      <c r="CJ16" s="49"/>
      <c r="CK16" s="49"/>
      <c r="CL16" s="49"/>
      <c r="CM16" s="49"/>
      <c r="CN16" s="49"/>
      <c r="CO16" s="49"/>
      <c r="CP16" s="49"/>
      <c r="CQ16" s="49"/>
      <c r="CR16" s="49"/>
      <c r="CS16" s="49"/>
      <c r="CT16" s="49"/>
      <c r="CU16" s="50"/>
    </row>
    <row r="17" spans="1:99" s="51" customFormat="1" ht="26.25" customHeight="1">
      <c r="A17" s="41">
        <v>10</v>
      </c>
      <c r="B17" s="42" t="s">
        <v>100</v>
      </c>
      <c r="C17" s="43" t="s">
        <v>50</v>
      </c>
      <c r="D17" s="43" t="s">
        <v>31</v>
      </c>
      <c r="E17" s="44">
        <f t="shared" si="2"/>
        <v>42511</v>
      </c>
      <c r="F17" s="45">
        <v>3</v>
      </c>
      <c r="G17" s="44">
        <f t="shared" si="3"/>
        <v>42514</v>
      </c>
      <c r="H17" s="52"/>
      <c r="I17" s="49"/>
      <c r="J17" s="49"/>
      <c r="K17" s="49"/>
      <c r="L17" s="49"/>
      <c r="M17" s="49"/>
      <c r="N17" s="49"/>
      <c r="O17" s="49"/>
      <c r="P17" s="49"/>
      <c r="Q17" s="49"/>
      <c r="R17" s="53"/>
      <c r="S17" s="53"/>
      <c r="T17" s="53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/>
      <c r="AW17" s="49"/>
      <c r="AX17" s="49"/>
      <c r="AY17" s="49"/>
      <c r="AZ17" s="49"/>
      <c r="BA17" s="49"/>
      <c r="BB17" s="49"/>
      <c r="BC17" s="49"/>
      <c r="BD17" s="49"/>
      <c r="BE17" s="49"/>
      <c r="BF17" s="49"/>
      <c r="BG17" s="49"/>
      <c r="BH17" s="49"/>
      <c r="BI17" s="49"/>
      <c r="BJ17" s="49"/>
      <c r="BK17" s="49"/>
      <c r="BL17" s="49"/>
      <c r="BM17" s="49"/>
      <c r="BN17" s="49"/>
      <c r="BO17" s="49"/>
      <c r="BP17" s="49"/>
      <c r="BQ17" s="49"/>
      <c r="BR17" s="49"/>
      <c r="BS17" s="49"/>
      <c r="BT17" s="49"/>
      <c r="BU17" s="49"/>
      <c r="BV17" s="49"/>
      <c r="BW17" s="49"/>
      <c r="BX17" s="49"/>
      <c r="BY17" s="49"/>
      <c r="BZ17" s="49"/>
      <c r="CA17" s="49"/>
      <c r="CB17" s="49"/>
      <c r="CC17" s="49"/>
      <c r="CD17" s="49"/>
      <c r="CE17" s="49"/>
      <c r="CF17" s="49"/>
      <c r="CG17" s="49"/>
      <c r="CH17" s="49"/>
      <c r="CI17" s="49"/>
      <c r="CJ17" s="49"/>
      <c r="CK17" s="49"/>
      <c r="CL17" s="49"/>
      <c r="CM17" s="49"/>
      <c r="CN17" s="49"/>
      <c r="CO17" s="49"/>
      <c r="CP17" s="49"/>
      <c r="CQ17" s="49"/>
      <c r="CR17" s="49"/>
      <c r="CS17" s="49"/>
      <c r="CT17" s="49"/>
      <c r="CU17" s="50"/>
    </row>
    <row r="18" spans="1:99" s="51" customFormat="1" ht="26.25" customHeight="1">
      <c r="A18" s="41">
        <v>11</v>
      </c>
      <c r="B18" s="42" t="s">
        <v>97</v>
      </c>
      <c r="C18" s="43" t="s">
        <v>25</v>
      </c>
      <c r="D18" s="43" t="s">
        <v>14</v>
      </c>
      <c r="E18" s="44">
        <f t="shared" si="2"/>
        <v>42514</v>
      </c>
      <c r="F18" s="45">
        <v>3</v>
      </c>
      <c r="G18" s="44">
        <f t="shared" si="3"/>
        <v>42517</v>
      </c>
      <c r="H18" s="52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55"/>
      <c r="V18" s="55"/>
      <c r="W18" s="55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49"/>
      <c r="AZ18" s="49"/>
      <c r="BA18" s="49"/>
      <c r="BB18" s="49"/>
      <c r="BC18" s="49"/>
      <c r="BD18" s="49"/>
      <c r="BE18" s="49"/>
      <c r="BF18" s="49"/>
      <c r="BG18" s="49"/>
      <c r="BH18" s="49"/>
      <c r="BI18" s="49"/>
      <c r="BJ18" s="49"/>
      <c r="BK18" s="49"/>
      <c r="BL18" s="49"/>
      <c r="BM18" s="49"/>
      <c r="BN18" s="49"/>
      <c r="BO18" s="49"/>
      <c r="BP18" s="49"/>
      <c r="BQ18" s="49"/>
      <c r="BR18" s="49"/>
      <c r="BS18" s="49"/>
      <c r="BT18" s="49"/>
      <c r="BU18" s="49"/>
      <c r="BV18" s="49"/>
      <c r="BW18" s="49"/>
      <c r="BX18" s="49"/>
      <c r="BY18" s="49"/>
      <c r="BZ18" s="49"/>
      <c r="CA18" s="49"/>
      <c r="CB18" s="49"/>
      <c r="CC18" s="49"/>
      <c r="CD18" s="49"/>
      <c r="CE18" s="49"/>
      <c r="CF18" s="49"/>
      <c r="CG18" s="49"/>
      <c r="CH18" s="49"/>
      <c r="CI18" s="49"/>
      <c r="CJ18" s="49"/>
      <c r="CK18" s="49"/>
      <c r="CL18" s="49"/>
      <c r="CM18" s="49"/>
      <c r="CN18" s="49"/>
      <c r="CO18" s="49"/>
      <c r="CP18" s="49"/>
      <c r="CQ18" s="49"/>
      <c r="CR18" s="49"/>
      <c r="CS18" s="49"/>
      <c r="CT18" s="49"/>
      <c r="CU18" s="50"/>
    </row>
    <row r="19" spans="1:99" s="51" customFormat="1" ht="26.25" customHeight="1">
      <c r="A19" s="41">
        <v>12</v>
      </c>
      <c r="B19" s="42" t="s">
        <v>96</v>
      </c>
      <c r="C19" s="43" t="s">
        <v>49</v>
      </c>
      <c r="D19" s="43" t="s">
        <v>31</v>
      </c>
      <c r="E19" s="44">
        <f t="shared" si="2"/>
        <v>42517</v>
      </c>
      <c r="F19" s="45">
        <v>2</v>
      </c>
      <c r="G19" s="44">
        <f t="shared" si="3"/>
        <v>42519</v>
      </c>
      <c r="H19" s="52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3"/>
      <c r="X19" s="53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49"/>
      <c r="BE19" s="49"/>
      <c r="BF19" s="49"/>
      <c r="BG19" s="49"/>
      <c r="BH19" s="49"/>
      <c r="BI19" s="49"/>
      <c r="BJ19" s="49"/>
      <c r="BK19" s="49"/>
      <c r="BL19" s="49"/>
      <c r="BM19" s="49"/>
      <c r="BN19" s="49"/>
      <c r="BO19" s="49"/>
      <c r="BP19" s="49"/>
      <c r="BQ19" s="49"/>
      <c r="BR19" s="49"/>
      <c r="BS19" s="49"/>
      <c r="BT19" s="49"/>
      <c r="BU19" s="49"/>
      <c r="BV19" s="49"/>
      <c r="BW19" s="49"/>
      <c r="BX19" s="49"/>
      <c r="BY19" s="49"/>
      <c r="BZ19" s="49"/>
      <c r="CA19" s="49"/>
      <c r="CB19" s="49"/>
      <c r="CC19" s="49"/>
      <c r="CD19" s="49"/>
      <c r="CE19" s="49"/>
      <c r="CF19" s="49"/>
      <c r="CG19" s="49"/>
      <c r="CH19" s="49"/>
      <c r="CI19" s="49"/>
      <c r="CJ19" s="49"/>
      <c r="CK19" s="49"/>
      <c r="CL19" s="49"/>
      <c r="CM19" s="49"/>
      <c r="CN19" s="49"/>
      <c r="CO19" s="49"/>
      <c r="CP19" s="49"/>
      <c r="CQ19" s="49"/>
      <c r="CR19" s="49"/>
      <c r="CS19" s="49"/>
      <c r="CT19" s="49"/>
      <c r="CU19" s="50"/>
    </row>
    <row r="20" spans="1:99" s="51" customFormat="1" ht="26.25" customHeight="1">
      <c r="A20" s="41">
        <v>13</v>
      </c>
      <c r="B20" s="42" t="s">
        <v>110</v>
      </c>
      <c r="C20" s="43" t="s">
        <v>51</v>
      </c>
      <c r="D20" s="43" t="s">
        <v>31</v>
      </c>
      <c r="E20" s="44">
        <f t="shared" si="2"/>
        <v>42519</v>
      </c>
      <c r="F20" s="45">
        <v>2</v>
      </c>
      <c r="G20" s="44">
        <f t="shared" si="3"/>
        <v>42521</v>
      </c>
      <c r="H20" s="52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53"/>
      <c r="Y20" s="53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49"/>
      <c r="AW20" s="49"/>
      <c r="AX20" s="49"/>
      <c r="AY20" s="49"/>
      <c r="AZ20" s="49"/>
      <c r="BA20" s="49"/>
      <c r="BB20" s="49"/>
      <c r="BC20" s="49"/>
      <c r="BD20" s="49"/>
      <c r="BE20" s="49"/>
      <c r="BF20" s="49"/>
      <c r="BG20" s="49"/>
      <c r="BH20" s="49"/>
      <c r="BI20" s="49"/>
      <c r="BJ20" s="49"/>
      <c r="BK20" s="49"/>
      <c r="BL20" s="49"/>
      <c r="BM20" s="49"/>
      <c r="BN20" s="49"/>
      <c r="BO20" s="49"/>
      <c r="BP20" s="49"/>
      <c r="BQ20" s="49"/>
      <c r="BR20" s="49"/>
      <c r="BS20" s="49"/>
      <c r="BT20" s="49"/>
      <c r="BU20" s="49"/>
      <c r="BV20" s="49"/>
      <c r="BW20" s="49"/>
      <c r="BX20" s="49"/>
      <c r="BY20" s="49"/>
      <c r="BZ20" s="49"/>
      <c r="CA20" s="49"/>
      <c r="CB20" s="49"/>
      <c r="CC20" s="49"/>
      <c r="CD20" s="49"/>
      <c r="CE20" s="49"/>
      <c r="CF20" s="49"/>
      <c r="CG20" s="49"/>
      <c r="CH20" s="49"/>
      <c r="CI20" s="49"/>
      <c r="CJ20" s="49"/>
      <c r="CK20" s="49"/>
      <c r="CL20" s="49"/>
      <c r="CM20" s="49"/>
      <c r="CN20" s="49"/>
      <c r="CO20" s="49"/>
      <c r="CP20" s="49"/>
      <c r="CQ20" s="49"/>
      <c r="CR20" s="49"/>
      <c r="CS20" s="49"/>
      <c r="CT20" s="49"/>
      <c r="CU20" s="50"/>
    </row>
    <row r="21" spans="1:99" s="51" customFormat="1" ht="26.25" customHeight="1">
      <c r="A21" s="41">
        <v>14</v>
      </c>
      <c r="B21" s="42" t="s">
        <v>69</v>
      </c>
      <c r="C21" s="43" t="s">
        <v>37</v>
      </c>
      <c r="D21" s="43" t="s">
        <v>14</v>
      </c>
      <c r="E21" s="44">
        <f t="shared" si="2"/>
        <v>42521</v>
      </c>
      <c r="F21" s="45">
        <v>2</v>
      </c>
      <c r="G21" s="44">
        <f t="shared" si="3"/>
        <v>42523</v>
      </c>
      <c r="H21" s="52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54"/>
      <c r="AA21" s="54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49"/>
      <c r="AY21" s="49"/>
      <c r="AZ21" s="49"/>
      <c r="BA21" s="49"/>
      <c r="BB21" s="49"/>
      <c r="BC21" s="49"/>
      <c r="BD21" s="49"/>
      <c r="BE21" s="49"/>
      <c r="BF21" s="49"/>
      <c r="BG21" s="49"/>
      <c r="BH21" s="49"/>
      <c r="BI21" s="49"/>
      <c r="BJ21" s="49"/>
      <c r="BK21" s="49"/>
      <c r="BL21" s="49"/>
      <c r="BM21" s="49"/>
      <c r="BN21" s="49"/>
      <c r="BO21" s="49"/>
      <c r="BP21" s="49"/>
      <c r="BQ21" s="49"/>
      <c r="BR21" s="49"/>
      <c r="BS21" s="49"/>
      <c r="BT21" s="49"/>
      <c r="BU21" s="49"/>
      <c r="BV21" s="49"/>
      <c r="BW21" s="49"/>
      <c r="BX21" s="49"/>
      <c r="BY21" s="49"/>
      <c r="BZ21" s="49"/>
      <c r="CA21" s="49"/>
      <c r="CB21" s="49"/>
      <c r="CC21" s="49"/>
      <c r="CD21" s="49"/>
      <c r="CE21" s="49"/>
      <c r="CF21" s="49"/>
      <c r="CG21" s="49"/>
      <c r="CH21" s="49"/>
      <c r="CI21" s="49"/>
      <c r="CJ21" s="49"/>
      <c r="CK21" s="49"/>
      <c r="CL21" s="49"/>
      <c r="CM21" s="49"/>
      <c r="CN21" s="49"/>
      <c r="CO21" s="49"/>
      <c r="CP21" s="49"/>
      <c r="CQ21" s="49"/>
      <c r="CR21" s="49"/>
      <c r="CS21" s="49"/>
      <c r="CT21" s="49"/>
      <c r="CU21" s="50"/>
    </row>
    <row r="22" spans="1:99" s="51" customFormat="1" ht="26.25" customHeight="1">
      <c r="A22" s="41">
        <v>15</v>
      </c>
      <c r="B22" s="42" t="s">
        <v>70</v>
      </c>
      <c r="C22" s="43" t="s">
        <v>34</v>
      </c>
      <c r="D22" s="43" t="s">
        <v>31</v>
      </c>
      <c r="E22" s="44">
        <f t="shared" si="2"/>
        <v>42523</v>
      </c>
      <c r="F22" s="45">
        <v>1</v>
      </c>
      <c r="G22" s="44">
        <f t="shared" si="3"/>
        <v>42524</v>
      </c>
      <c r="H22" s="52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53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49"/>
      <c r="AW22" s="49"/>
      <c r="AX22" s="49"/>
      <c r="AY22" s="49"/>
      <c r="AZ22" s="49"/>
      <c r="BA22" s="49"/>
      <c r="BB22" s="49"/>
      <c r="BC22" s="49"/>
      <c r="BD22" s="49"/>
      <c r="BE22" s="49"/>
      <c r="BF22" s="49"/>
      <c r="BG22" s="49"/>
      <c r="BH22" s="49"/>
      <c r="BI22" s="49"/>
      <c r="BJ22" s="49"/>
      <c r="BK22" s="49"/>
      <c r="BL22" s="49"/>
      <c r="BM22" s="49"/>
      <c r="BN22" s="49"/>
      <c r="BO22" s="49"/>
      <c r="BP22" s="49"/>
      <c r="BQ22" s="49"/>
      <c r="BR22" s="49"/>
      <c r="BS22" s="49"/>
      <c r="BT22" s="49"/>
      <c r="BU22" s="49"/>
      <c r="BV22" s="49"/>
      <c r="BW22" s="49"/>
      <c r="BX22" s="49"/>
      <c r="BY22" s="49"/>
      <c r="BZ22" s="49"/>
      <c r="CA22" s="49"/>
      <c r="CB22" s="49"/>
      <c r="CC22" s="49"/>
      <c r="CD22" s="49"/>
      <c r="CE22" s="49"/>
      <c r="CF22" s="49"/>
      <c r="CG22" s="49"/>
      <c r="CH22" s="49"/>
      <c r="CI22" s="49"/>
      <c r="CJ22" s="49"/>
      <c r="CK22" s="49"/>
      <c r="CL22" s="49"/>
      <c r="CM22" s="49"/>
      <c r="CN22" s="49"/>
      <c r="CO22" s="49"/>
      <c r="CP22" s="49"/>
      <c r="CQ22" s="49"/>
      <c r="CR22" s="49"/>
      <c r="CS22" s="49"/>
      <c r="CT22" s="49"/>
      <c r="CU22" s="50"/>
    </row>
    <row r="23" spans="1:99" s="51" customFormat="1" ht="26.25" customHeight="1">
      <c r="A23" s="41">
        <v>16</v>
      </c>
      <c r="B23" s="42" t="s">
        <v>71</v>
      </c>
      <c r="C23" s="43" t="s">
        <v>40</v>
      </c>
      <c r="D23" s="43" t="s">
        <v>24</v>
      </c>
      <c r="E23" s="44">
        <f t="shared" si="2"/>
        <v>42524</v>
      </c>
      <c r="F23" s="45">
        <v>5</v>
      </c>
      <c r="G23" s="44">
        <f t="shared" si="3"/>
        <v>42529</v>
      </c>
      <c r="H23" s="52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56"/>
      <c r="AC23" s="56"/>
      <c r="AD23" s="56"/>
      <c r="AE23" s="56"/>
      <c r="AF23" s="56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49"/>
      <c r="AY23" s="49"/>
      <c r="AZ23" s="49"/>
      <c r="BA23" s="49"/>
      <c r="BB23" s="49"/>
      <c r="BC23" s="49"/>
      <c r="BD23" s="49"/>
      <c r="BE23" s="49"/>
      <c r="BF23" s="49"/>
      <c r="BG23" s="49"/>
      <c r="BH23" s="49"/>
      <c r="BI23" s="49"/>
      <c r="BJ23" s="49"/>
      <c r="BK23" s="49"/>
      <c r="BL23" s="49"/>
      <c r="BM23" s="49"/>
      <c r="BN23" s="49"/>
      <c r="BO23" s="49"/>
      <c r="BP23" s="49"/>
      <c r="BQ23" s="49"/>
      <c r="BR23" s="49"/>
      <c r="BS23" s="49"/>
      <c r="BT23" s="49"/>
      <c r="BU23" s="49"/>
      <c r="BV23" s="49"/>
      <c r="BW23" s="49"/>
      <c r="BX23" s="49"/>
      <c r="BY23" s="49"/>
      <c r="BZ23" s="49"/>
      <c r="CA23" s="49"/>
      <c r="CB23" s="49"/>
      <c r="CC23" s="49"/>
      <c r="CD23" s="49"/>
      <c r="CE23" s="49"/>
      <c r="CF23" s="49"/>
      <c r="CG23" s="49"/>
      <c r="CH23" s="49"/>
      <c r="CI23" s="49"/>
      <c r="CJ23" s="49"/>
      <c r="CK23" s="49"/>
      <c r="CL23" s="49"/>
      <c r="CM23" s="49"/>
      <c r="CN23" s="49"/>
      <c r="CO23" s="49"/>
      <c r="CP23" s="49"/>
      <c r="CQ23" s="49"/>
      <c r="CR23" s="49"/>
      <c r="CS23" s="49"/>
      <c r="CT23" s="49"/>
      <c r="CU23" s="50"/>
    </row>
    <row r="24" spans="1:99" s="51" customFormat="1" ht="26.25" customHeight="1">
      <c r="A24" s="41">
        <v>17</v>
      </c>
      <c r="B24" s="42" t="s">
        <v>72</v>
      </c>
      <c r="C24" s="43" t="s">
        <v>41</v>
      </c>
      <c r="D24" s="43" t="s">
        <v>31</v>
      </c>
      <c r="E24" s="44">
        <f t="shared" si="2"/>
        <v>42529</v>
      </c>
      <c r="F24" s="45">
        <v>2</v>
      </c>
      <c r="G24" s="44">
        <f t="shared" si="3"/>
        <v>42531</v>
      </c>
      <c r="H24" s="52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53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  <c r="AX24" s="49"/>
      <c r="AY24" s="49"/>
      <c r="AZ24" s="49"/>
      <c r="BA24" s="49"/>
      <c r="BB24" s="49"/>
      <c r="BC24" s="49"/>
      <c r="BD24" s="49"/>
      <c r="BE24" s="49"/>
      <c r="BF24" s="49"/>
      <c r="BG24" s="49"/>
      <c r="BH24" s="49"/>
      <c r="BI24" s="49"/>
      <c r="BJ24" s="49"/>
      <c r="BK24" s="49"/>
      <c r="BL24" s="49"/>
      <c r="BM24" s="49"/>
      <c r="BN24" s="49"/>
      <c r="BO24" s="49"/>
      <c r="BP24" s="49"/>
      <c r="BQ24" s="49"/>
      <c r="BR24" s="49"/>
      <c r="BS24" s="49"/>
      <c r="BT24" s="49"/>
      <c r="BU24" s="49"/>
      <c r="BV24" s="49"/>
      <c r="BW24" s="49"/>
      <c r="BX24" s="49"/>
      <c r="BY24" s="49"/>
      <c r="BZ24" s="49"/>
      <c r="CA24" s="49"/>
      <c r="CB24" s="49"/>
      <c r="CC24" s="49"/>
      <c r="CD24" s="49"/>
      <c r="CE24" s="49"/>
      <c r="CF24" s="49"/>
      <c r="CG24" s="49"/>
      <c r="CH24" s="49"/>
      <c r="CI24" s="49"/>
      <c r="CJ24" s="49"/>
      <c r="CK24" s="49"/>
      <c r="CL24" s="49"/>
      <c r="CM24" s="49"/>
      <c r="CN24" s="49"/>
      <c r="CO24" s="49"/>
      <c r="CP24" s="49"/>
      <c r="CQ24" s="49"/>
      <c r="CR24" s="49"/>
      <c r="CS24" s="49"/>
      <c r="CT24" s="49"/>
      <c r="CU24" s="50"/>
    </row>
    <row r="25" spans="1:99" s="51" customFormat="1" ht="26.25" customHeight="1">
      <c r="A25" s="41">
        <v>18</v>
      </c>
      <c r="B25" s="42" t="s">
        <v>73</v>
      </c>
      <c r="C25" s="43" t="s">
        <v>38</v>
      </c>
      <c r="D25" s="43" t="s">
        <v>14</v>
      </c>
      <c r="E25" s="44">
        <f t="shared" si="2"/>
        <v>42531</v>
      </c>
      <c r="F25" s="45">
        <v>2</v>
      </c>
      <c r="G25" s="44">
        <f t="shared" si="3"/>
        <v>42533</v>
      </c>
      <c r="H25" s="52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57"/>
      <c r="AA25" s="57"/>
      <c r="AB25" s="57"/>
      <c r="AC25" s="57"/>
      <c r="AD25" s="48"/>
      <c r="AE25" s="54"/>
      <c r="AF25" s="54"/>
      <c r="AG25" s="49"/>
      <c r="AH25" s="49"/>
      <c r="AI25" s="49"/>
      <c r="AJ25" s="49"/>
      <c r="AK25" s="49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49"/>
      <c r="AY25" s="49"/>
      <c r="AZ25" s="49"/>
      <c r="BA25" s="49"/>
      <c r="BB25" s="49"/>
      <c r="BC25" s="49"/>
      <c r="BD25" s="49"/>
      <c r="BE25" s="49"/>
      <c r="BF25" s="49"/>
      <c r="BG25" s="49"/>
      <c r="BH25" s="49"/>
      <c r="BI25" s="49"/>
      <c r="BJ25" s="49"/>
      <c r="BK25" s="49"/>
      <c r="BL25" s="49"/>
      <c r="BM25" s="49"/>
      <c r="BN25" s="49"/>
      <c r="BO25" s="49"/>
      <c r="BP25" s="49"/>
      <c r="BQ25" s="49"/>
      <c r="BR25" s="49"/>
      <c r="BS25" s="49"/>
      <c r="BT25" s="49"/>
      <c r="BU25" s="49"/>
      <c r="BV25" s="49"/>
      <c r="BW25" s="49"/>
      <c r="BX25" s="49"/>
      <c r="BY25" s="49"/>
      <c r="BZ25" s="49"/>
      <c r="CA25" s="49"/>
      <c r="CB25" s="49"/>
      <c r="CC25" s="49"/>
      <c r="CD25" s="49"/>
      <c r="CE25" s="49"/>
      <c r="CF25" s="49"/>
      <c r="CG25" s="49"/>
      <c r="CH25" s="49"/>
      <c r="CI25" s="49"/>
      <c r="CJ25" s="49"/>
      <c r="CK25" s="49"/>
      <c r="CL25" s="49"/>
      <c r="CM25" s="49"/>
      <c r="CN25" s="49"/>
      <c r="CO25" s="49"/>
      <c r="CP25" s="49"/>
      <c r="CQ25" s="49"/>
      <c r="CR25" s="49"/>
      <c r="CS25" s="49"/>
      <c r="CT25" s="49"/>
      <c r="CU25" s="50"/>
    </row>
    <row r="26" spans="1:99" s="51" customFormat="1" ht="26.25" customHeight="1">
      <c r="A26" s="41">
        <v>19</v>
      </c>
      <c r="B26" s="42" t="s">
        <v>74</v>
      </c>
      <c r="C26" s="43" t="s">
        <v>35</v>
      </c>
      <c r="D26" s="43" t="s">
        <v>31</v>
      </c>
      <c r="E26" s="44">
        <f t="shared" si="2"/>
        <v>42533</v>
      </c>
      <c r="F26" s="45">
        <v>1</v>
      </c>
      <c r="G26" s="44">
        <f t="shared" si="3"/>
        <v>42534</v>
      </c>
      <c r="H26" s="52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57"/>
      <c r="AA26" s="57"/>
      <c r="AB26" s="57"/>
      <c r="AC26" s="57"/>
      <c r="AD26" s="48"/>
      <c r="AE26" s="49"/>
      <c r="AF26" s="49"/>
      <c r="AG26" s="53"/>
      <c r="AH26" s="49"/>
      <c r="AI26" s="49"/>
      <c r="AJ26" s="49"/>
      <c r="AK26" s="49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49"/>
      <c r="AY26" s="49"/>
      <c r="AZ26" s="49"/>
      <c r="BA26" s="49"/>
      <c r="BB26" s="49"/>
      <c r="BC26" s="49"/>
      <c r="BD26" s="49"/>
      <c r="BE26" s="49"/>
      <c r="BF26" s="49"/>
      <c r="BG26" s="49"/>
      <c r="BH26" s="49"/>
      <c r="BI26" s="49"/>
      <c r="BJ26" s="49"/>
      <c r="BK26" s="49"/>
      <c r="BL26" s="49"/>
      <c r="BM26" s="49"/>
      <c r="BN26" s="49"/>
      <c r="BO26" s="49"/>
      <c r="BP26" s="49"/>
      <c r="BQ26" s="49"/>
      <c r="BR26" s="49"/>
      <c r="BS26" s="49"/>
      <c r="BT26" s="49"/>
      <c r="BU26" s="49"/>
      <c r="BV26" s="49"/>
      <c r="BW26" s="49"/>
      <c r="BX26" s="49"/>
      <c r="BY26" s="49"/>
      <c r="BZ26" s="49"/>
      <c r="CA26" s="49"/>
      <c r="CB26" s="49"/>
      <c r="CC26" s="49"/>
      <c r="CD26" s="49"/>
      <c r="CE26" s="49"/>
      <c r="CF26" s="49"/>
      <c r="CG26" s="49"/>
      <c r="CH26" s="49"/>
      <c r="CI26" s="49"/>
      <c r="CJ26" s="49"/>
      <c r="CK26" s="49"/>
      <c r="CL26" s="49"/>
      <c r="CM26" s="49"/>
      <c r="CN26" s="49"/>
      <c r="CO26" s="49"/>
      <c r="CP26" s="49"/>
      <c r="CQ26" s="49"/>
      <c r="CR26" s="49"/>
      <c r="CS26" s="49"/>
      <c r="CT26" s="49"/>
      <c r="CU26" s="50"/>
    </row>
    <row r="27" spans="1:99" s="51" customFormat="1" ht="26.25" customHeight="1">
      <c r="A27" s="41">
        <v>20</v>
      </c>
      <c r="B27" s="42" t="s">
        <v>75</v>
      </c>
      <c r="C27" s="43" t="s">
        <v>42</v>
      </c>
      <c r="D27" s="43" t="s">
        <v>24</v>
      </c>
      <c r="E27" s="44">
        <f t="shared" si="2"/>
        <v>42534</v>
      </c>
      <c r="F27" s="45">
        <v>5</v>
      </c>
      <c r="G27" s="44">
        <f t="shared" si="3"/>
        <v>42539</v>
      </c>
      <c r="H27" s="52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57"/>
      <c r="AA27" s="57"/>
      <c r="AB27" s="57"/>
      <c r="AC27" s="57"/>
      <c r="AD27" s="48"/>
      <c r="AE27" s="49"/>
      <c r="AF27" s="49"/>
      <c r="AG27" s="56"/>
      <c r="AH27" s="56"/>
      <c r="AI27" s="56"/>
      <c r="AJ27" s="56"/>
      <c r="AK27" s="56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49"/>
      <c r="AY27" s="49"/>
      <c r="AZ27" s="49"/>
      <c r="BA27" s="49"/>
      <c r="BB27" s="49"/>
      <c r="BC27" s="49"/>
      <c r="BD27" s="49"/>
      <c r="BE27" s="49"/>
      <c r="BF27" s="49"/>
      <c r="BG27" s="49"/>
      <c r="BH27" s="49"/>
      <c r="BI27" s="49"/>
      <c r="BJ27" s="49"/>
      <c r="BK27" s="49"/>
      <c r="BL27" s="49"/>
      <c r="BM27" s="49"/>
      <c r="BN27" s="49"/>
      <c r="BO27" s="49"/>
      <c r="BP27" s="49"/>
      <c r="BQ27" s="49"/>
      <c r="BR27" s="49"/>
      <c r="BS27" s="49"/>
      <c r="BT27" s="49"/>
      <c r="BU27" s="49"/>
      <c r="BV27" s="49"/>
      <c r="BW27" s="49"/>
      <c r="BX27" s="49"/>
      <c r="BY27" s="49"/>
      <c r="BZ27" s="49"/>
      <c r="CA27" s="49"/>
      <c r="CB27" s="49"/>
      <c r="CC27" s="49"/>
      <c r="CD27" s="49"/>
      <c r="CE27" s="49"/>
      <c r="CF27" s="49"/>
      <c r="CG27" s="49"/>
      <c r="CH27" s="49"/>
      <c r="CI27" s="49"/>
      <c r="CJ27" s="49"/>
      <c r="CK27" s="49"/>
      <c r="CL27" s="49"/>
      <c r="CM27" s="49"/>
      <c r="CN27" s="49"/>
      <c r="CO27" s="49"/>
      <c r="CP27" s="49"/>
      <c r="CQ27" s="49"/>
      <c r="CR27" s="49"/>
      <c r="CS27" s="49"/>
      <c r="CT27" s="49"/>
      <c r="CU27" s="50"/>
    </row>
    <row r="28" spans="1:99" s="51" customFormat="1" ht="26.25" customHeight="1">
      <c r="A28" s="41">
        <v>21</v>
      </c>
      <c r="B28" s="42" t="s">
        <v>76</v>
      </c>
      <c r="C28" s="43" t="s">
        <v>43</v>
      </c>
      <c r="D28" s="43" t="s">
        <v>31</v>
      </c>
      <c r="E28" s="44">
        <f t="shared" si="2"/>
        <v>42539</v>
      </c>
      <c r="F28" s="45">
        <v>2</v>
      </c>
      <c r="G28" s="44">
        <f t="shared" si="3"/>
        <v>42541</v>
      </c>
      <c r="H28" s="52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57"/>
      <c r="AA28" s="57"/>
      <c r="AB28" s="57"/>
      <c r="AC28" s="57"/>
      <c r="AD28" s="48"/>
      <c r="AE28" s="49"/>
      <c r="AF28" s="49"/>
      <c r="AG28" s="49"/>
      <c r="AH28" s="49"/>
      <c r="AI28" s="49"/>
      <c r="AJ28" s="49"/>
      <c r="AK28" s="53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49"/>
      <c r="AY28" s="49"/>
      <c r="AZ28" s="49"/>
      <c r="BA28" s="49"/>
      <c r="BB28" s="49"/>
      <c r="BC28" s="49"/>
      <c r="BD28" s="49"/>
      <c r="BE28" s="49"/>
      <c r="BF28" s="49"/>
      <c r="BG28" s="49"/>
      <c r="BH28" s="49"/>
      <c r="BI28" s="49"/>
      <c r="BJ28" s="49"/>
      <c r="BK28" s="49"/>
      <c r="BL28" s="49"/>
      <c r="BM28" s="49"/>
      <c r="BN28" s="49"/>
      <c r="BO28" s="49"/>
      <c r="BP28" s="49"/>
      <c r="BQ28" s="49"/>
      <c r="BR28" s="49"/>
      <c r="BS28" s="49"/>
      <c r="BT28" s="49"/>
      <c r="BU28" s="49"/>
      <c r="BV28" s="49"/>
      <c r="BW28" s="49"/>
      <c r="BX28" s="49"/>
      <c r="BY28" s="49"/>
      <c r="BZ28" s="49"/>
      <c r="CA28" s="49"/>
      <c r="CB28" s="49"/>
      <c r="CC28" s="49"/>
      <c r="CD28" s="49"/>
      <c r="CE28" s="49"/>
      <c r="CF28" s="49"/>
      <c r="CG28" s="49"/>
      <c r="CH28" s="49"/>
      <c r="CI28" s="49"/>
      <c r="CJ28" s="49"/>
      <c r="CK28" s="49"/>
      <c r="CL28" s="49"/>
      <c r="CM28" s="49"/>
      <c r="CN28" s="49"/>
      <c r="CO28" s="49"/>
      <c r="CP28" s="49"/>
      <c r="CQ28" s="49"/>
      <c r="CR28" s="49"/>
      <c r="CS28" s="49"/>
      <c r="CT28" s="49"/>
      <c r="CU28" s="50"/>
    </row>
    <row r="29" spans="1:99" s="51" customFormat="1" ht="26.25" customHeight="1">
      <c r="A29" s="41">
        <v>22</v>
      </c>
      <c r="B29" s="42" t="s">
        <v>77</v>
      </c>
      <c r="C29" s="43" t="s">
        <v>39</v>
      </c>
      <c r="D29" s="43" t="s">
        <v>14</v>
      </c>
      <c r="E29" s="44">
        <f t="shared" si="2"/>
        <v>42541</v>
      </c>
      <c r="F29" s="45">
        <v>2</v>
      </c>
      <c r="G29" s="44">
        <f t="shared" si="3"/>
        <v>42543</v>
      </c>
      <c r="H29" s="52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57"/>
      <c r="AA29" s="57"/>
      <c r="AB29" s="57"/>
      <c r="AC29" s="57"/>
      <c r="AD29" s="57"/>
      <c r="AE29" s="57"/>
      <c r="AF29" s="57"/>
      <c r="AG29" s="57"/>
      <c r="AH29" s="48"/>
      <c r="AI29" s="48"/>
      <c r="AJ29" s="54"/>
      <c r="AK29" s="54"/>
      <c r="AL29" s="49"/>
      <c r="AM29" s="49"/>
      <c r="AN29" s="49"/>
      <c r="AO29" s="49"/>
      <c r="AP29" s="49"/>
      <c r="AQ29" s="57"/>
      <c r="AR29" s="57"/>
      <c r="AS29" s="57"/>
      <c r="AT29" s="57"/>
      <c r="AU29" s="57"/>
      <c r="AV29" s="57"/>
      <c r="AW29" s="57"/>
      <c r="AX29" s="49"/>
      <c r="AY29" s="49"/>
      <c r="AZ29" s="49"/>
      <c r="BA29" s="49"/>
      <c r="BB29" s="49"/>
      <c r="BC29" s="49"/>
      <c r="BD29" s="49"/>
      <c r="BE29" s="49"/>
      <c r="BF29" s="49"/>
      <c r="BG29" s="49"/>
      <c r="BH29" s="49"/>
      <c r="BI29" s="49"/>
      <c r="BJ29" s="49"/>
      <c r="BK29" s="49"/>
      <c r="BL29" s="49"/>
      <c r="BM29" s="49"/>
      <c r="BN29" s="49"/>
      <c r="BO29" s="49"/>
      <c r="BP29" s="49"/>
      <c r="BQ29" s="49"/>
      <c r="BR29" s="49"/>
      <c r="BS29" s="49"/>
      <c r="BT29" s="49"/>
      <c r="BU29" s="49"/>
      <c r="BV29" s="49"/>
      <c r="BW29" s="49"/>
      <c r="BX29" s="49"/>
      <c r="BY29" s="49"/>
      <c r="BZ29" s="49"/>
      <c r="CA29" s="49"/>
      <c r="CB29" s="49"/>
      <c r="CC29" s="49"/>
      <c r="CD29" s="49"/>
      <c r="CE29" s="49"/>
      <c r="CF29" s="49"/>
      <c r="CG29" s="49"/>
      <c r="CH29" s="49"/>
      <c r="CI29" s="49"/>
      <c r="CJ29" s="49"/>
      <c r="CK29" s="49"/>
      <c r="CL29" s="49"/>
      <c r="CM29" s="49"/>
      <c r="CN29" s="49"/>
      <c r="CO29" s="49"/>
      <c r="CP29" s="49"/>
      <c r="CQ29" s="49"/>
      <c r="CR29" s="49"/>
      <c r="CS29" s="49"/>
      <c r="CT29" s="49"/>
      <c r="CU29" s="50"/>
    </row>
    <row r="30" spans="1:99" s="51" customFormat="1" ht="26.25" customHeight="1">
      <c r="A30" s="41">
        <v>23</v>
      </c>
      <c r="B30" s="42" t="s">
        <v>52</v>
      </c>
      <c r="C30" s="43" t="s">
        <v>36</v>
      </c>
      <c r="D30" s="43" t="s">
        <v>31</v>
      </c>
      <c r="E30" s="44">
        <f t="shared" si="2"/>
        <v>42543</v>
      </c>
      <c r="F30" s="45">
        <v>1</v>
      </c>
      <c r="G30" s="44">
        <f t="shared" si="3"/>
        <v>42544</v>
      </c>
      <c r="H30" s="52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57"/>
      <c r="AA30" s="57"/>
      <c r="AB30" s="57"/>
      <c r="AC30" s="57"/>
      <c r="AD30" s="57"/>
      <c r="AE30" s="57"/>
      <c r="AF30" s="57"/>
      <c r="AG30" s="57"/>
      <c r="AH30" s="48"/>
      <c r="AI30" s="48"/>
      <c r="AJ30" s="49"/>
      <c r="AK30" s="49"/>
      <c r="AL30" s="53"/>
      <c r="AM30" s="49"/>
      <c r="AN30" s="49"/>
      <c r="AO30" s="49"/>
      <c r="AP30" s="49"/>
      <c r="AQ30" s="57"/>
      <c r="AR30" s="57"/>
      <c r="AS30" s="57"/>
      <c r="AT30" s="57"/>
      <c r="AU30" s="57"/>
      <c r="AV30" s="57"/>
      <c r="AW30" s="57"/>
      <c r="AX30" s="49"/>
      <c r="AY30" s="49"/>
      <c r="AZ30" s="49"/>
      <c r="BA30" s="49"/>
      <c r="BB30" s="49"/>
      <c r="BC30" s="49"/>
      <c r="BD30" s="49"/>
      <c r="BE30" s="49"/>
      <c r="BF30" s="49"/>
      <c r="BG30" s="49"/>
      <c r="BH30" s="49"/>
      <c r="BI30" s="49"/>
      <c r="BJ30" s="49"/>
      <c r="BK30" s="49"/>
      <c r="BL30" s="49"/>
      <c r="BM30" s="49"/>
      <c r="BN30" s="49"/>
      <c r="BO30" s="49"/>
      <c r="BP30" s="49"/>
      <c r="BQ30" s="49"/>
      <c r="BR30" s="49"/>
      <c r="BS30" s="49"/>
      <c r="BT30" s="49"/>
      <c r="BU30" s="49"/>
      <c r="BV30" s="49"/>
      <c r="BW30" s="49"/>
      <c r="BX30" s="49"/>
      <c r="BY30" s="49"/>
      <c r="BZ30" s="49"/>
      <c r="CA30" s="49"/>
      <c r="CB30" s="49"/>
      <c r="CC30" s="49"/>
      <c r="CD30" s="49"/>
      <c r="CE30" s="49"/>
      <c r="CF30" s="49"/>
      <c r="CG30" s="49"/>
      <c r="CH30" s="49"/>
      <c r="CI30" s="49"/>
      <c r="CJ30" s="49"/>
      <c r="CK30" s="49"/>
      <c r="CL30" s="49"/>
      <c r="CM30" s="49"/>
      <c r="CN30" s="49"/>
      <c r="CO30" s="49"/>
      <c r="CP30" s="49"/>
      <c r="CQ30" s="49"/>
      <c r="CR30" s="49"/>
      <c r="CS30" s="49"/>
      <c r="CT30" s="49"/>
      <c r="CU30" s="50"/>
    </row>
    <row r="31" spans="1:99" s="51" customFormat="1" ht="26.25" customHeight="1">
      <c r="A31" s="41">
        <v>24</v>
      </c>
      <c r="B31" s="42" t="s">
        <v>53</v>
      </c>
      <c r="C31" s="43" t="s">
        <v>44</v>
      </c>
      <c r="D31" s="43" t="s">
        <v>24</v>
      </c>
      <c r="E31" s="44">
        <f t="shared" si="2"/>
        <v>42544</v>
      </c>
      <c r="F31" s="45">
        <v>5</v>
      </c>
      <c r="G31" s="44">
        <f t="shared" si="3"/>
        <v>42549</v>
      </c>
      <c r="H31" s="52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57"/>
      <c r="AA31" s="57"/>
      <c r="AB31" s="57"/>
      <c r="AC31" s="57"/>
      <c r="AD31" s="57"/>
      <c r="AE31" s="57"/>
      <c r="AF31" s="57"/>
      <c r="AG31" s="57"/>
      <c r="AH31" s="48"/>
      <c r="AI31" s="48"/>
      <c r="AJ31" s="49"/>
      <c r="AK31" s="49"/>
      <c r="AL31" s="56"/>
      <c r="AM31" s="56"/>
      <c r="AN31" s="56"/>
      <c r="AO31" s="56"/>
      <c r="AP31" s="56"/>
      <c r="AQ31" s="57"/>
      <c r="AR31" s="57"/>
      <c r="AS31" s="57"/>
      <c r="AT31" s="57"/>
      <c r="AU31" s="57"/>
      <c r="AV31" s="57"/>
      <c r="AW31" s="57"/>
      <c r="AX31" s="49"/>
      <c r="AY31" s="49"/>
      <c r="AZ31" s="49"/>
      <c r="BA31" s="49"/>
      <c r="BB31" s="49"/>
      <c r="BC31" s="49"/>
      <c r="BD31" s="49"/>
      <c r="BE31" s="49"/>
      <c r="BF31" s="49"/>
      <c r="BG31" s="49"/>
      <c r="BH31" s="49"/>
      <c r="BI31" s="49"/>
      <c r="BJ31" s="49"/>
      <c r="BK31" s="49"/>
      <c r="BL31" s="49"/>
      <c r="BM31" s="49"/>
      <c r="BN31" s="49"/>
      <c r="BO31" s="49"/>
      <c r="BP31" s="49"/>
      <c r="BQ31" s="49"/>
      <c r="BR31" s="49"/>
      <c r="BS31" s="49"/>
      <c r="BT31" s="49"/>
      <c r="BU31" s="49"/>
      <c r="BV31" s="49"/>
      <c r="BW31" s="49"/>
      <c r="BX31" s="49"/>
      <c r="BY31" s="49"/>
      <c r="BZ31" s="49"/>
      <c r="CA31" s="49"/>
      <c r="CB31" s="49"/>
      <c r="CC31" s="49"/>
      <c r="CD31" s="49"/>
      <c r="CE31" s="49"/>
      <c r="CF31" s="49"/>
      <c r="CG31" s="49"/>
      <c r="CH31" s="49"/>
      <c r="CI31" s="49"/>
      <c r="CJ31" s="49"/>
      <c r="CK31" s="49"/>
      <c r="CL31" s="49"/>
      <c r="CM31" s="49"/>
      <c r="CN31" s="49"/>
      <c r="CO31" s="49"/>
      <c r="CP31" s="49"/>
      <c r="CQ31" s="49"/>
      <c r="CR31" s="49"/>
      <c r="CS31" s="49"/>
      <c r="CT31" s="49"/>
      <c r="CU31" s="50"/>
    </row>
    <row r="32" spans="1:99" s="51" customFormat="1" ht="26.25" customHeight="1">
      <c r="A32" s="41">
        <v>25</v>
      </c>
      <c r="B32" s="42" t="s">
        <v>54</v>
      </c>
      <c r="C32" s="43" t="s">
        <v>45</v>
      </c>
      <c r="D32" s="43" t="s">
        <v>31</v>
      </c>
      <c r="E32" s="44">
        <f t="shared" si="2"/>
        <v>42549</v>
      </c>
      <c r="F32" s="45">
        <v>2</v>
      </c>
      <c r="G32" s="44">
        <f t="shared" si="3"/>
        <v>42551</v>
      </c>
      <c r="H32" s="52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57"/>
      <c r="AA32" s="57"/>
      <c r="AB32" s="57"/>
      <c r="AC32" s="57"/>
      <c r="AD32" s="57"/>
      <c r="AE32" s="57"/>
      <c r="AF32" s="57"/>
      <c r="AG32" s="57"/>
      <c r="AH32" s="48"/>
      <c r="AI32" s="48"/>
      <c r="AJ32" s="49"/>
      <c r="AK32" s="49"/>
      <c r="AL32" s="49"/>
      <c r="AM32" s="49"/>
      <c r="AN32" s="49"/>
      <c r="AO32" s="49"/>
      <c r="AP32" s="53"/>
      <c r="AQ32" s="57"/>
      <c r="AR32" s="57"/>
      <c r="AS32" s="57"/>
      <c r="AT32" s="57"/>
      <c r="AU32" s="57"/>
      <c r="AV32" s="57"/>
      <c r="AW32" s="57"/>
      <c r="AX32" s="49"/>
      <c r="AY32" s="49"/>
      <c r="AZ32" s="49"/>
      <c r="BA32" s="49"/>
      <c r="BB32" s="49"/>
      <c r="BC32" s="49"/>
      <c r="BD32" s="49"/>
      <c r="BE32" s="49"/>
      <c r="BF32" s="49"/>
      <c r="BG32" s="49"/>
      <c r="BH32" s="49"/>
      <c r="BI32" s="49"/>
      <c r="BJ32" s="49"/>
      <c r="BK32" s="49"/>
      <c r="BL32" s="49"/>
      <c r="BM32" s="49"/>
      <c r="BN32" s="49"/>
      <c r="BO32" s="49"/>
      <c r="BP32" s="49"/>
      <c r="BQ32" s="49"/>
      <c r="BR32" s="49"/>
      <c r="BS32" s="49"/>
      <c r="BT32" s="49"/>
      <c r="BU32" s="49"/>
      <c r="BV32" s="49"/>
      <c r="BW32" s="49"/>
      <c r="BX32" s="49"/>
      <c r="BY32" s="49"/>
      <c r="BZ32" s="49"/>
      <c r="CA32" s="49"/>
      <c r="CB32" s="49"/>
      <c r="CC32" s="49"/>
      <c r="CD32" s="49"/>
      <c r="CE32" s="49"/>
      <c r="CF32" s="49"/>
      <c r="CG32" s="49"/>
      <c r="CH32" s="49"/>
      <c r="CI32" s="49"/>
      <c r="CJ32" s="49"/>
      <c r="CK32" s="49"/>
      <c r="CL32" s="49"/>
      <c r="CM32" s="49"/>
      <c r="CN32" s="49"/>
      <c r="CO32" s="49"/>
      <c r="CP32" s="49"/>
      <c r="CQ32" s="49"/>
      <c r="CR32" s="49"/>
      <c r="CS32" s="49"/>
      <c r="CT32" s="49"/>
      <c r="CU32" s="50"/>
    </row>
    <row r="33" spans="1:99" s="51" customFormat="1" ht="26.25" customHeight="1">
      <c r="A33" s="41">
        <v>26</v>
      </c>
      <c r="B33" s="42" t="s">
        <v>107</v>
      </c>
      <c r="C33" s="43" t="s">
        <v>64</v>
      </c>
      <c r="D33" s="43" t="s">
        <v>24</v>
      </c>
      <c r="E33" s="44">
        <f t="shared" si="2"/>
        <v>42551</v>
      </c>
      <c r="F33" s="45">
        <v>2</v>
      </c>
      <c r="G33" s="44">
        <f t="shared" si="3"/>
        <v>42553</v>
      </c>
      <c r="H33" s="52" t="s">
        <v>11</v>
      </c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49"/>
      <c r="AP33" s="49"/>
      <c r="AQ33" s="56"/>
      <c r="AR33" s="56"/>
      <c r="AS33" s="49"/>
      <c r="AT33" s="49"/>
      <c r="AU33" s="49"/>
      <c r="AV33" s="49"/>
      <c r="AW33" s="49"/>
      <c r="AX33" s="49"/>
      <c r="AY33" s="49"/>
      <c r="AZ33" s="49"/>
      <c r="BA33" s="49"/>
      <c r="BB33" s="49"/>
      <c r="BC33" s="49"/>
      <c r="BD33" s="49"/>
      <c r="BE33" s="49"/>
      <c r="BF33" s="49"/>
      <c r="BG33" s="49"/>
      <c r="BH33" s="49"/>
      <c r="BI33" s="49"/>
      <c r="BJ33" s="49"/>
      <c r="BK33" s="49"/>
      <c r="BL33" s="49"/>
      <c r="BM33" s="49"/>
      <c r="BN33" s="49"/>
      <c r="BO33" s="49"/>
      <c r="BP33" s="49"/>
      <c r="BQ33" s="49"/>
      <c r="BR33" s="49"/>
      <c r="BS33" s="49"/>
      <c r="BT33" s="49"/>
      <c r="BU33" s="49"/>
      <c r="BV33" s="49"/>
      <c r="BW33" s="49"/>
      <c r="BX33" s="49"/>
      <c r="BY33" s="49"/>
      <c r="BZ33" s="49"/>
      <c r="CA33" s="49"/>
      <c r="CB33" s="49"/>
      <c r="CC33" s="49"/>
      <c r="CD33" s="49"/>
      <c r="CE33" s="49"/>
      <c r="CF33" s="49"/>
      <c r="CG33" s="49"/>
      <c r="CH33" s="49"/>
      <c r="CI33" s="49"/>
      <c r="CJ33" s="49"/>
      <c r="CK33" s="49"/>
      <c r="CL33" s="49"/>
      <c r="CM33" s="49"/>
      <c r="CN33" s="49"/>
      <c r="CO33" s="49"/>
      <c r="CP33" s="49"/>
      <c r="CQ33" s="49"/>
      <c r="CR33" s="49"/>
      <c r="CS33" s="49"/>
      <c r="CT33" s="49"/>
      <c r="CU33" s="50"/>
    </row>
    <row r="34" spans="1:99" s="51" customFormat="1" ht="26.25" customHeight="1">
      <c r="A34" s="41">
        <v>27</v>
      </c>
      <c r="B34" s="42" t="s">
        <v>78</v>
      </c>
      <c r="C34" s="43" t="s">
        <v>63</v>
      </c>
      <c r="D34" s="43" t="s">
        <v>31</v>
      </c>
      <c r="E34" s="44">
        <f t="shared" si="2"/>
        <v>42553</v>
      </c>
      <c r="F34" s="45">
        <v>1</v>
      </c>
      <c r="G34" s="44">
        <f t="shared" si="3"/>
        <v>42554</v>
      </c>
      <c r="H34" s="52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49"/>
      <c r="AP34" s="49"/>
      <c r="AQ34" s="49"/>
      <c r="AR34" s="53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49"/>
      <c r="BE34" s="49"/>
      <c r="BF34" s="49"/>
      <c r="BG34" s="49"/>
      <c r="BH34" s="49"/>
      <c r="BI34" s="49"/>
      <c r="BJ34" s="49"/>
      <c r="BK34" s="49"/>
      <c r="BL34" s="49"/>
      <c r="BM34" s="49"/>
      <c r="BN34" s="49"/>
      <c r="BO34" s="49"/>
      <c r="BP34" s="49"/>
      <c r="BQ34" s="49"/>
      <c r="BR34" s="49"/>
      <c r="BS34" s="49"/>
      <c r="BT34" s="49"/>
      <c r="BU34" s="49"/>
      <c r="BV34" s="49"/>
      <c r="BW34" s="49"/>
      <c r="BX34" s="49"/>
      <c r="BY34" s="49"/>
      <c r="BZ34" s="49"/>
      <c r="CA34" s="49"/>
      <c r="CB34" s="49"/>
      <c r="CC34" s="49"/>
      <c r="CD34" s="49"/>
      <c r="CE34" s="49"/>
      <c r="CF34" s="49"/>
      <c r="CG34" s="49"/>
      <c r="CH34" s="49"/>
      <c r="CI34" s="49"/>
      <c r="CJ34" s="49"/>
      <c r="CK34" s="49"/>
      <c r="CL34" s="49"/>
      <c r="CM34" s="49"/>
      <c r="CN34" s="49"/>
      <c r="CO34" s="49"/>
      <c r="CP34" s="49"/>
      <c r="CQ34" s="49"/>
      <c r="CR34" s="49"/>
      <c r="CS34" s="49"/>
      <c r="CT34" s="49"/>
      <c r="CU34" s="50"/>
    </row>
    <row r="35" spans="1:99" s="51" customFormat="1" ht="26.25" customHeight="1">
      <c r="A35" s="41">
        <v>28</v>
      </c>
      <c r="B35" s="42" t="s">
        <v>79</v>
      </c>
      <c r="C35" s="43" t="s">
        <v>65</v>
      </c>
      <c r="D35" s="43" t="s">
        <v>24</v>
      </c>
      <c r="E35" s="44">
        <f t="shared" si="2"/>
        <v>42554</v>
      </c>
      <c r="F35" s="45">
        <v>2</v>
      </c>
      <c r="G35" s="44">
        <f t="shared" si="3"/>
        <v>42556</v>
      </c>
      <c r="H35" s="52" t="s">
        <v>217</v>
      </c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  <c r="AO35" s="49"/>
      <c r="AP35" s="49"/>
      <c r="AQ35" s="49"/>
      <c r="AR35" s="49"/>
      <c r="AS35" s="56"/>
      <c r="AT35" s="56"/>
      <c r="AU35" s="49"/>
      <c r="AV35" s="49"/>
      <c r="AW35" s="49"/>
      <c r="AX35" s="49"/>
      <c r="AY35" s="49"/>
      <c r="AZ35" s="49"/>
      <c r="BA35" s="49"/>
      <c r="BB35" s="49"/>
      <c r="BC35" s="49"/>
      <c r="BD35" s="49"/>
      <c r="BE35" s="49"/>
      <c r="BF35" s="49"/>
      <c r="BG35" s="49"/>
      <c r="BH35" s="49"/>
      <c r="BI35" s="49"/>
      <c r="BJ35" s="49"/>
      <c r="BK35" s="49"/>
      <c r="BL35" s="49"/>
      <c r="BM35" s="49"/>
      <c r="BN35" s="49"/>
      <c r="BO35" s="49"/>
      <c r="BP35" s="49"/>
      <c r="BQ35" s="49"/>
      <c r="BR35" s="49"/>
      <c r="BS35" s="49"/>
      <c r="BT35" s="49"/>
      <c r="BU35" s="49"/>
      <c r="BV35" s="49"/>
      <c r="BW35" s="49"/>
      <c r="BX35" s="49"/>
      <c r="BY35" s="49"/>
      <c r="BZ35" s="49"/>
      <c r="CA35" s="49"/>
      <c r="CB35" s="49"/>
      <c r="CC35" s="49"/>
      <c r="CD35" s="49"/>
      <c r="CE35" s="49"/>
      <c r="CF35" s="49"/>
      <c r="CG35" s="49"/>
      <c r="CH35" s="49"/>
      <c r="CI35" s="49"/>
      <c r="CJ35" s="49"/>
      <c r="CK35" s="49"/>
      <c r="CL35" s="49"/>
      <c r="CM35" s="49"/>
      <c r="CN35" s="49"/>
      <c r="CO35" s="49"/>
      <c r="CP35" s="49"/>
      <c r="CQ35" s="49"/>
      <c r="CR35" s="49"/>
      <c r="CS35" s="49"/>
      <c r="CT35" s="49"/>
      <c r="CU35" s="50"/>
    </row>
    <row r="36" spans="1:99" s="51" customFormat="1" ht="26.25" customHeight="1">
      <c r="A36" s="41">
        <v>29</v>
      </c>
      <c r="B36" s="42" t="s">
        <v>80</v>
      </c>
      <c r="C36" s="43" t="s">
        <v>63</v>
      </c>
      <c r="D36" s="43" t="s">
        <v>31</v>
      </c>
      <c r="E36" s="44">
        <f t="shared" si="2"/>
        <v>42556</v>
      </c>
      <c r="F36" s="45">
        <v>1</v>
      </c>
      <c r="G36" s="44">
        <f t="shared" si="3"/>
        <v>42557</v>
      </c>
      <c r="H36" s="52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53"/>
      <c r="AU36" s="49"/>
      <c r="AV36" s="49"/>
      <c r="AW36" s="49"/>
      <c r="AX36" s="49"/>
      <c r="AY36" s="49"/>
      <c r="AZ36" s="49"/>
      <c r="BA36" s="49"/>
      <c r="BB36" s="49"/>
      <c r="BC36" s="49"/>
      <c r="BD36" s="49"/>
      <c r="BE36" s="49"/>
      <c r="BF36" s="49"/>
      <c r="BG36" s="49"/>
      <c r="BH36" s="49"/>
      <c r="BI36" s="49"/>
      <c r="BJ36" s="49"/>
      <c r="BK36" s="49"/>
      <c r="BL36" s="49"/>
      <c r="BM36" s="49"/>
      <c r="BN36" s="49"/>
      <c r="BO36" s="49"/>
      <c r="BP36" s="49"/>
      <c r="BQ36" s="49"/>
      <c r="BR36" s="49"/>
      <c r="BS36" s="49"/>
      <c r="BT36" s="49"/>
      <c r="BU36" s="49"/>
      <c r="BV36" s="49"/>
      <c r="BW36" s="49"/>
      <c r="BX36" s="49"/>
      <c r="BY36" s="49"/>
      <c r="BZ36" s="49"/>
      <c r="CA36" s="49"/>
      <c r="CB36" s="49"/>
      <c r="CC36" s="49"/>
      <c r="CD36" s="49"/>
      <c r="CE36" s="49"/>
      <c r="CF36" s="49"/>
      <c r="CG36" s="49"/>
      <c r="CH36" s="49"/>
      <c r="CI36" s="49"/>
      <c r="CJ36" s="49"/>
      <c r="CK36" s="49"/>
      <c r="CL36" s="49"/>
      <c r="CM36" s="49"/>
      <c r="CN36" s="49"/>
      <c r="CO36" s="49"/>
      <c r="CP36" s="49"/>
      <c r="CQ36" s="49"/>
      <c r="CR36" s="49"/>
      <c r="CS36" s="49"/>
      <c r="CT36" s="49"/>
      <c r="CU36" s="50"/>
    </row>
    <row r="37" spans="1:99" s="51" customFormat="1" ht="26.25" customHeight="1">
      <c r="A37" s="41">
        <v>30</v>
      </c>
      <c r="B37" s="42" t="s">
        <v>81</v>
      </c>
      <c r="C37" s="43" t="s">
        <v>66</v>
      </c>
      <c r="D37" s="43" t="s">
        <v>24</v>
      </c>
      <c r="E37" s="44">
        <f t="shared" si="2"/>
        <v>42557</v>
      </c>
      <c r="F37" s="45">
        <v>2</v>
      </c>
      <c r="G37" s="44">
        <f t="shared" si="3"/>
        <v>42559</v>
      </c>
      <c r="H37" s="52" t="s">
        <v>217</v>
      </c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56"/>
      <c r="AV37" s="56"/>
      <c r="AW37" s="49"/>
      <c r="AX37" s="49"/>
      <c r="AY37" s="49"/>
      <c r="AZ37" s="49"/>
      <c r="BA37" s="49"/>
      <c r="BB37" s="49"/>
      <c r="BC37" s="49"/>
      <c r="BD37" s="49"/>
      <c r="BE37" s="49"/>
      <c r="BF37" s="49"/>
      <c r="BG37" s="49"/>
      <c r="BH37" s="49"/>
      <c r="BI37" s="49"/>
      <c r="BJ37" s="49"/>
      <c r="BK37" s="49"/>
      <c r="BL37" s="49"/>
      <c r="BM37" s="49"/>
      <c r="BN37" s="49"/>
      <c r="BO37" s="49"/>
      <c r="BP37" s="49"/>
      <c r="BQ37" s="49"/>
      <c r="BR37" s="49"/>
      <c r="BS37" s="49"/>
      <c r="BT37" s="49"/>
      <c r="BU37" s="49"/>
      <c r="BV37" s="49"/>
      <c r="BW37" s="49"/>
      <c r="BX37" s="49"/>
      <c r="BY37" s="49"/>
      <c r="BZ37" s="49"/>
      <c r="CA37" s="49"/>
      <c r="CB37" s="49"/>
      <c r="CC37" s="49"/>
      <c r="CD37" s="49"/>
      <c r="CE37" s="49"/>
      <c r="CF37" s="49"/>
      <c r="CG37" s="49"/>
      <c r="CH37" s="49"/>
      <c r="CI37" s="49"/>
      <c r="CJ37" s="49"/>
      <c r="CK37" s="49"/>
      <c r="CL37" s="49"/>
      <c r="CM37" s="49"/>
      <c r="CN37" s="49"/>
      <c r="CO37" s="49"/>
      <c r="CP37" s="49"/>
      <c r="CQ37" s="49"/>
      <c r="CR37" s="49"/>
      <c r="CS37" s="49"/>
      <c r="CT37" s="49"/>
      <c r="CU37" s="50"/>
    </row>
    <row r="38" spans="1:99" s="51" customFormat="1" ht="26.25" customHeight="1">
      <c r="A38" s="41">
        <v>31</v>
      </c>
      <c r="B38" s="42" t="s">
        <v>82</v>
      </c>
      <c r="C38" s="43" t="s">
        <v>63</v>
      </c>
      <c r="D38" s="43" t="s">
        <v>31</v>
      </c>
      <c r="E38" s="44">
        <f t="shared" si="2"/>
        <v>42559</v>
      </c>
      <c r="F38" s="45">
        <v>1</v>
      </c>
      <c r="G38" s="44">
        <f t="shared" si="3"/>
        <v>42560</v>
      </c>
      <c r="H38" s="52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49"/>
      <c r="AP38" s="49"/>
      <c r="AQ38" s="49"/>
      <c r="AR38" s="49"/>
      <c r="AS38" s="49"/>
      <c r="AT38" s="49"/>
      <c r="AU38" s="49"/>
      <c r="AV38" s="53"/>
      <c r="AW38" s="49"/>
      <c r="AX38" s="49"/>
      <c r="AY38" s="49"/>
      <c r="AZ38" s="49"/>
      <c r="BA38" s="49"/>
      <c r="BB38" s="49"/>
      <c r="BC38" s="49"/>
      <c r="BD38" s="49"/>
      <c r="BE38" s="49"/>
      <c r="BF38" s="49"/>
      <c r="BG38" s="49"/>
      <c r="BH38" s="49"/>
      <c r="BI38" s="49"/>
      <c r="BJ38" s="49"/>
      <c r="BK38" s="49"/>
      <c r="BL38" s="49"/>
      <c r="BM38" s="49"/>
      <c r="BN38" s="49"/>
      <c r="BO38" s="49"/>
      <c r="BP38" s="49"/>
      <c r="BQ38" s="49"/>
      <c r="BR38" s="49"/>
      <c r="BS38" s="49"/>
      <c r="BT38" s="49"/>
      <c r="BU38" s="49"/>
      <c r="BV38" s="49"/>
      <c r="BW38" s="49"/>
      <c r="BX38" s="49"/>
      <c r="BY38" s="49"/>
      <c r="BZ38" s="49"/>
      <c r="CA38" s="49"/>
      <c r="CB38" s="49"/>
      <c r="CC38" s="49"/>
      <c r="CD38" s="49"/>
      <c r="CE38" s="49"/>
      <c r="CF38" s="49"/>
      <c r="CG38" s="49"/>
      <c r="CH38" s="49"/>
      <c r="CI38" s="49"/>
      <c r="CJ38" s="49"/>
      <c r="CK38" s="49"/>
      <c r="CL38" s="49"/>
      <c r="CM38" s="49"/>
      <c r="CN38" s="49"/>
      <c r="CO38" s="49"/>
      <c r="CP38" s="49"/>
      <c r="CQ38" s="49"/>
      <c r="CR38" s="49"/>
      <c r="CS38" s="49"/>
      <c r="CT38" s="49"/>
      <c r="CU38" s="50"/>
    </row>
    <row r="39" spans="1:99" s="51" customFormat="1" ht="26.25" customHeight="1">
      <c r="A39" s="41">
        <v>32</v>
      </c>
      <c r="B39" s="42" t="s">
        <v>95</v>
      </c>
      <c r="C39" s="43" t="s">
        <v>67</v>
      </c>
      <c r="D39" s="43" t="s">
        <v>24</v>
      </c>
      <c r="E39" s="44">
        <f t="shared" si="2"/>
        <v>42560</v>
      </c>
      <c r="F39" s="45">
        <v>2</v>
      </c>
      <c r="G39" s="44">
        <f t="shared" si="3"/>
        <v>42562</v>
      </c>
      <c r="H39" s="52" t="s">
        <v>11</v>
      </c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56"/>
      <c r="AX39" s="56"/>
      <c r="AY39" s="49"/>
      <c r="AZ39" s="49"/>
      <c r="BA39" s="49"/>
      <c r="BB39" s="49"/>
      <c r="BC39" s="49"/>
      <c r="BD39" s="49"/>
      <c r="BE39" s="49"/>
      <c r="BF39" s="49"/>
      <c r="BG39" s="49"/>
      <c r="BH39" s="49"/>
      <c r="BI39" s="49"/>
      <c r="BJ39" s="49"/>
      <c r="BK39" s="49"/>
      <c r="BL39" s="49"/>
      <c r="BM39" s="49"/>
      <c r="BN39" s="49"/>
      <c r="BO39" s="49"/>
      <c r="BP39" s="49"/>
      <c r="BQ39" s="49"/>
      <c r="BR39" s="49"/>
      <c r="BS39" s="49"/>
      <c r="BT39" s="49"/>
      <c r="BU39" s="49"/>
      <c r="BV39" s="49"/>
      <c r="BW39" s="49"/>
      <c r="BX39" s="49"/>
      <c r="BY39" s="49"/>
      <c r="BZ39" s="49"/>
      <c r="CA39" s="49"/>
      <c r="CB39" s="49"/>
      <c r="CC39" s="49"/>
      <c r="CD39" s="49"/>
      <c r="CE39" s="49"/>
      <c r="CF39" s="49"/>
      <c r="CG39" s="49"/>
      <c r="CH39" s="49"/>
      <c r="CI39" s="49"/>
      <c r="CJ39" s="49"/>
      <c r="CK39" s="49"/>
      <c r="CL39" s="49"/>
      <c r="CM39" s="49"/>
      <c r="CN39" s="49"/>
      <c r="CO39" s="49"/>
      <c r="CP39" s="49"/>
      <c r="CQ39" s="49"/>
      <c r="CR39" s="49"/>
      <c r="CS39" s="49"/>
      <c r="CT39" s="49"/>
      <c r="CU39" s="50"/>
    </row>
    <row r="40" spans="1:99" s="51" customFormat="1" ht="26.25" customHeight="1">
      <c r="A40" s="41">
        <v>33</v>
      </c>
      <c r="B40" s="42" t="s">
        <v>94</v>
      </c>
      <c r="C40" s="43" t="s">
        <v>63</v>
      </c>
      <c r="D40" s="43" t="s">
        <v>31</v>
      </c>
      <c r="E40" s="44">
        <f t="shared" si="2"/>
        <v>42562</v>
      </c>
      <c r="F40" s="45">
        <v>1</v>
      </c>
      <c r="G40" s="44">
        <f t="shared" si="3"/>
        <v>42563</v>
      </c>
      <c r="H40" s="52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  <c r="AO40" s="49"/>
      <c r="AP40" s="49"/>
      <c r="AQ40" s="49"/>
      <c r="AR40" s="49"/>
      <c r="AS40" s="49"/>
      <c r="AT40" s="49"/>
      <c r="AU40" s="49"/>
      <c r="AV40" s="49"/>
      <c r="AW40" s="49"/>
      <c r="AX40" s="53"/>
      <c r="AY40" s="49"/>
      <c r="AZ40" s="49"/>
      <c r="BA40" s="49"/>
      <c r="BB40" s="49"/>
      <c r="BC40" s="49"/>
      <c r="BD40" s="49"/>
      <c r="BE40" s="49"/>
      <c r="BF40" s="49"/>
      <c r="BG40" s="49"/>
      <c r="BH40" s="49"/>
      <c r="BI40" s="49"/>
      <c r="BJ40" s="49"/>
      <c r="BK40" s="49"/>
      <c r="BL40" s="49"/>
      <c r="BM40" s="49"/>
      <c r="BN40" s="49"/>
      <c r="BO40" s="49"/>
      <c r="BP40" s="49"/>
      <c r="BQ40" s="49"/>
      <c r="BR40" s="49"/>
      <c r="BS40" s="49"/>
      <c r="BT40" s="49"/>
      <c r="BU40" s="49"/>
      <c r="BV40" s="49"/>
      <c r="BW40" s="49"/>
      <c r="BX40" s="49"/>
      <c r="BY40" s="49"/>
      <c r="BZ40" s="49"/>
      <c r="CA40" s="49"/>
      <c r="CB40" s="49"/>
      <c r="CC40" s="49"/>
      <c r="CD40" s="49"/>
      <c r="CE40" s="49"/>
      <c r="CF40" s="49"/>
      <c r="CG40" s="49"/>
      <c r="CH40" s="49"/>
      <c r="CI40" s="49"/>
      <c r="CJ40" s="49"/>
      <c r="CK40" s="49"/>
      <c r="CL40" s="49"/>
      <c r="CM40" s="49"/>
      <c r="CN40" s="49"/>
      <c r="CO40" s="49"/>
      <c r="CP40" s="49"/>
      <c r="CQ40" s="49"/>
      <c r="CR40" s="49"/>
      <c r="CS40" s="49"/>
      <c r="CT40" s="49"/>
      <c r="CU40" s="50"/>
    </row>
    <row r="41" spans="1:99" s="51" customFormat="1" ht="26.25" customHeight="1">
      <c r="A41" s="41">
        <v>34</v>
      </c>
      <c r="B41" s="42" t="s">
        <v>93</v>
      </c>
      <c r="C41" s="43" t="s">
        <v>68</v>
      </c>
      <c r="D41" s="43" t="s">
        <v>24</v>
      </c>
      <c r="E41" s="44">
        <f t="shared" si="2"/>
        <v>42563</v>
      </c>
      <c r="F41" s="45">
        <v>2</v>
      </c>
      <c r="G41" s="44">
        <f t="shared" si="3"/>
        <v>42565</v>
      </c>
      <c r="H41" s="52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56"/>
      <c r="AZ41" s="56"/>
      <c r="BA41" s="49"/>
      <c r="BB41" s="49"/>
      <c r="BC41" s="49"/>
      <c r="BD41" s="49"/>
      <c r="BE41" s="49"/>
      <c r="BF41" s="49"/>
      <c r="BG41" s="49"/>
      <c r="BH41" s="49"/>
      <c r="BI41" s="49"/>
      <c r="BJ41" s="49"/>
      <c r="BK41" s="49"/>
      <c r="BL41" s="49"/>
      <c r="BM41" s="49"/>
      <c r="BN41" s="49"/>
      <c r="BO41" s="49"/>
      <c r="BP41" s="49"/>
      <c r="BQ41" s="49"/>
      <c r="BR41" s="49"/>
      <c r="BS41" s="49"/>
      <c r="BT41" s="49"/>
      <c r="BU41" s="49"/>
      <c r="BV41" s="49"/>
      <c r="BW41" s="49"/>
      <c r="BX41" s="49"/>
      <c r="BY41" s="49"/>
      <c r="BZ41" s="49"/>
      <c r="CA41" s="49"/>
      <c r="CB41" s="49"/>
      <c r="CC41" s="49"/>
      <c r="CD41" s="49"/>
      <c r="CE41" s="49"/>
      <c r="CF41" s="49"/>
      <c r="CG41" s="49"/>
      <c r="CH41" s="49"/>
      <c r="CI41" s="49"/>
      <c r="CJ41" s="49"/>
      <c r="CK41" s="49"/>
      <c r="CL41" s="49"/>
      <c r="CM41" s="49"/>
      <c r="CN41" s="49"/>
      <c r="CO41" s="49"/>
      <c r="CP41" s="49"/>
      <c r="CQ41" s="49"/>
      <c r="CR41" s="49"/>
      <c r="CS41" s="49"/>
      <c r="CT41" s="49"/>
      <c r="CU41" s="50"/>
    </row>
    <row r="42" spans="1:99" s="51" customFormat="1" ht="26.25" customHeight="1">
      <c r="A42" s="41">
        <v>35</v>
      </c>
      <c r="B42" s="42" t="s">
        <v>120</v>
      </c>
      <c r="C42" s="43" t="s">
        <v>119</v>
      </c>
      <c r="D42" s="43" t="s">
        <v>14</v>
      </c>
      <c r="E42" s="44">
        <f t="shared" si="2"/>
        <v>42565</v>
      </c>
      <c r="F42" s="45">
        <v>1</v>
      </c>
      <c r="G42" s="44">
        <f t="shared" si="3"/>
        <v>42566</v>
      </c>
      <c r="H42" s="52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8"/>
      <c r="AV42" s="48"/>
      <c r="AW42" s="48"/>
      <c r="AX42" s="48"/>
      <c r="AY42" s="48"/>
      <c r="AZ42" s="48"/>
      <c r="BA42" s="58"/>
      <c r="BB42" s="48"/>
      <c r="BC42" s="49"/>
      <c r="BD42" s="49"/>
      <c r="BE42" s="49"/>
      <c r="BF42" s="49"/>
      <c r="BG42" s="49"/>
      <c r="BH42" s="49"/>
      <c r="BI42" s="49"/>
      <c r="BJ42" s="49"/>
      <c r="BK42" s="49"/>
      <c r="BL42" s="49"/>
      <c r="BM42" s="49"/>
      <c r="BN42" s="49"/>
      <c r="BO42" s="49"/>
      <c r="BP42" s="49"/>
      <c r="BQ42" s="49"/>
      <c r="BR42" s="49"/>
      <c r="BS42" s="49"/>
      <c r="BT42" s="49"/>
      <c r="BU42" s="49"/>
      <c r="BV42" s="49"/>
      <c r="BW42" s="49"/>
      <c r="BX42" s="49"/>
      <c r="BY42" s="49"/>
      <c r="BZ42" s="49"/>
      <c r="CA42" s="49"/>
      <c r="CB42" s="49"/>
      <c r="CC42" s="49"/>
      <c r="CD42" s="49"/>
      <c r="CE42" s="49"/>
      <c r="CF42" s="49"/>
      <c r="CG42" s="49"/>
      <c r="CH42" s="49"/>
      <c r="CI42" s="49"/>
      <c r="CJ42" s="49"/>
      <c r="CK42" s="49"/>
      <c r="CL42" s="49"/>
      <c r="CM42" s="49"/>
      <c r="CN42" s="49"/>
      <c r="CO42" s="49"/>
      <c r="CP42" s="49"/>
      <c r="CQ42" s="49"/>
      <c r="CR42" s="49"/>
      <c r="CS42" s="49"/>
      <c r="CT42" s="49"/>
      <c r="CU42" s="50"/>
    </row>
    <row r="43" spans="1:99" s="51" customFormat="1" ht="26.25" customHeight="1">
      <c r="A43" s="41">
        <v>36</v>
      </c>
      <c r="B43" s="42" t="s">
        <v>60</v>
      </c>
      <c r="C43" s="43" t="s">
        <v>62</v>
      </c>
      <c r="D43" s="43" t="s">
        <v>24</v>
      </c>
      <c r="E43" s="44">
        <f t="shared" si="2"/>
        <v>42566</v>
      </c>
      <c r="F43" s="45">
        <v>1</v>
      </c>
      <c r="G43" s="44">
        <f t="shared" si="3"/>
        <v>42567</v>
      </c>
      <c r="H43" s="52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49"/>
      <c r="AZ43" s="49"/>
      <c r="BA43" s="49"/>
      <c r="BB43" s="56"/>
      <c r="BC43" s="49"/>
      <c r="BD43" s="49"/>
      <c r="BE43" s="49"/>
      <c r="BF43" s="49"/>
      <c r="BG43" s="49"/>
      <c r="BH43" s="49"/>
      <c r="BI43" s="49"/>
      <c r="BJ43" s="49"/>
      <c r="BK43" s="49"/>
      <c r="BL43" s="49"/>
      <c r="BM43" s="49"/>
      <c r="BN43" s="49"/>
      <c r="BO43" s="49"/>
      <c r="BP43" s="49"/>
      <c r="BQ43" s="49"/>
      <c r="BR43" s="49"/>
      <c r="BS43" s="49"/>
      <c r="BT43" s="49"/>
      <c r="BU43" s="49"/>
      <c r="BV43" s="49"/>
      <c r="BW43" s="49"/>
      <c r="BX43" s="49"/>
      <c r="BY43" s="49"/>
      <c r="BZ43" s="49"/>
      <c r="CA43" s="49"/>
      <c r="CB43" s="49"/>
      <c r="CC43" s="49"/>
      <c r="CD43" s="49"/>
      <c r="CE43" s="49"/>
      <c r="CF43" s="49"/>
      <c r="CG43" s="49"/>
      <c r="CH43" s="49"/>
      <c r="CI43" s="49"/>
      <c r="CJ43" s="49"/>
      <c r="CK43" s="49"/>
      <c r="CL43" s="49"/>
      <c r="CM43" s="49"/>
      <c r="CN43" s="49"/>
      <c r="CO43" s="49"/>
      <c r="CP43" s="49"/>
      <c r="CQ43" s="49"/>
      <c r="CR43" s="49"/>
      <c r="CS43" s="49"/>
      <c r="CT43" s="49"/>
      <c r="CU43" s="50"/>
    </row>
    <row r="44" spans="1:99" s="51" customFormat="1" ht="26.25" customHeight="1">
      <c r="A44" s="41">
        <v>37</v>
      </c>
      <c r="B44" s="42" t="s">
        <v>61</v>
      </c>
      <c r="C44" s="43" t="s">
        <v>63</v>
      </c>
      <c r="D44" s="43" t="s">
        <v>31</v>
      </c>
      <c r="E44" s="44">
        <f t="shared" si="2"/>
        <v>42567</v>
      </c>
      <c r="F44" s="45">
        <v>2</v>
      </c>
      <c r="G44" s="44">
        <f t="shared" si="3"/>
        <v>42569</v>
      </c>
      <c r="H44" s="52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  <c r="AX44" s="49"/>
      <c r="AY44" s="49"/>
      <c r="AZ44" s="49"/>
      <c r="BA44" s="49"/>
      <c r="BB44" s="53"/>
      <c r="BC44" s="49"/>
      <c r="BD44" s="49"/>
      <c r="BE44" s="49"/>
      <c r="BF44" s="49"/>
      <c r="BG44" s="49"/>
      <c r="BH44" s="49"/>
      <c r="BI44" s="49"/>
      <c r="BJ44" s="49"/>
      <c r="BK44" s="49"/>
      <c r="BL44" s="49"/>
      <c r="BM44" s="49"/>
      <c r="BN44" s="49"/>
      <c r="BO44" s="49"/>
      <c r="BP44" s="49"/>
      <c r="BQ44" s="49"/>
      <c r="BR44" s="49"/>
      <c r="BS44" s="49"/>
      <c r="BT44" s="49"/>
      <c r="BU44" s="49"/>
      <c r="BV44" s="49"/>
      <c r="BW44" s="49"/>
      <c r="BX44" s="49"/>
      <c r="BY44" s="49"/>
      <c r="BZ44" s="49"/>
      <c r="CA44" s="49"/>
      <c r="CB44" s="49"/>
      <c r="CC44" s="49"/>
      <c r="CD44" s="49"/>
      <c r="CE44" s="49"/>
      <c r="CF44" s="49"/>
      <c r="CG44" s="49"/>
      <c r="CH44" s="49"/>
      <c r="CI44" s="49"/>
      <c r="CJ44" s="49"/>
      <c r="CK44" s="49"/>
      <c r="CL44" s="49"/>
      <c r="CM44" s="49"/>
      <c r="CN44" s="49"/>
      <c r="CO44" s="49"/>
      <c r="CP44" s="49"/>
      <c r="CQ44" s="49"/>
      <c r="CR44" s="49"/>
      <c r="CS44" s="49"/>
      <c r="CT44" s="49"/>
      <c r="CU44" s="50"/>
    </row>
    <row r="45" spans="1:99" s="51" customFormat="1" ht="26.25" customHeight="1">
      <c r="A45" s="41">
        <v>38</v>
      </c>
      <c r="B45" s="42" t="s">
        <v>108</v>
      </c>
      <c r="C45" s="43" t="s">
        <v>59</v>
      </c>
      <c r="D45" s="43" t="s">
        <v>22</v>
      </c>
      <c r="E45" s="44">
        <f t="shared" si="2"/>
        <v>42569</v>
      </c>
      <c r="F45" s="45">
        <v>1</v>
      </c>
      <c r="G45" s="44">
        <f t="shared" si="3"/>
        <v>42570</v>
      </c>
      <c r="H45" s="52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7"/>
      <c r="BD45" s="48"/>
      <c r="BE45" s="49"/>
      <c r="BF45" s="49"/>
      <c r="BG45" s="49"/>
      <c r="BH45" s="49"/>
      <c r="BI45" s="49"/>
      <c r="BJ45" s="49"/>
      <c r="BK45" s="49"/>
      <c r="BL45" s="49"/>
      <c r="BM45" s="49"/>
      <c r="BN45" s="49"/>
      <c r="BO45" s="49"/>
      <c r="BP45" s="49"/>
      <c r="BQ45" s="49"/>
      <c r="BR45" s="49"/>
      <c r="BS45" s="49"/>
      <c r="BT45" s="49"/>
      <c r="BU45" s="49"/>
      <c r="BV45" s="49"/>
      <c r="BW45" s="49"/>
      <c r="BX45" s="49"/>
      <c r="BY45" s="49"/>
      <c r="BZ45" s="49"/>
      <c r="CA45" s="49"/>
      <c r="CB45" s="49"/>
      <c r="CC45" s="49"/>
      <c r="CD45" s="49"/>
      <c r="CE45" s="49"/>
      <c r="CF45" s="49"/>
      <c r="CG45" s="49"/>
      <c r="CH45" s="49"/>
      <c r="CI45" s="49"/>
      <c r="CJ45" s="49"/>
      <c r="CK45" s="49"/>
      <c r="CL45" s="49"/>
      <c r="CM45" s="49"/>
      <c r="CN45" s="49"/>
      <c r="CO45" s="49"/>
      <c r="CP45" s="49"/>
      <c r="CQ45" s="49"/>
      <c r="CR45" s="49"/>
      <c r="CS45" s="49"/>
      <c r="CT45" s="49"/>
      <c r="CU45" s="50"/>
    </row>
    <row r="46" spans="1:99" s="51" customFormat="1" ht="26.25" customHeight="1">
      <c r="A46" s="59">
        <v>39</v>
      </c>
      <c r="B46" s="60" t="s">
        <v>92</v>
      </c>
      <c r="C46" s="61" t="s">
        <v>58</v>
      </c>
      <c r="D46" s="43" t="s">
        <v>24</v>
      </c>
      <c r="E46" s="62">
        <f t="shared" si="2"/>
        <v>42570</v>
      </c>
      <c r="F46" s="63">
        <v>2</v>
      </c>
      <c r="G46" s="62">
        <f t="shared" si="3"/>
        <v>42572</v>
      </c>
      <c r="H46" s="64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56"/>
      <c r="BE46" s="56"/>
      <c r="BF46" s="49"/>
      <c r="BG46" s="49"/>
      <c r="BH46" s="49"/>
      <c r="BI46" s="49"/>
      <c r="BJ46" s="49"/>
      <c r="BK46" s="49"/>
      <c r="BL46" s="49"/>
      <c r="BM46" s="49"/>
      <c r="BN46" s="49"/>
      <c r="BO46" s="49"/>
      <c r="BP46" s="49"/>
      <c r="BQ46" s="49"/>
      <c r="BR46" s="49"/>
      <c r="BS46" s="49"/>
      <c r="BT46" s="49"/>
      <c r="BU46" s="49"/>
      <c r="BV46" s="49"/>
      <c r="BW46" s="49"/>
      <c r="BX46" s="49"/>
      <c r="BY46" s="49"/>
      <c r="BZ46" s="49"/>
      <c r="CA46" s="49"/>
      <c r="CB46" s="49"/>
      <c r="CC46" s="49"/>
      <c r="CD46" s="49"/>
      <c r="CE46" s="49"/>
      <c r="CF46" s="49"/>
      <c r="CG46" s="49"/>
      <c r="CH46" s="49"/>
      <c r="CI46" s="49"/>
      <c r="CJ46" s="49"/>
      <c r="CK46" s="49"/>
      <c r="CL46" s="49"/>
      <c r="CM46" s="49"/>
      <c r="CN46" s="49"/>
      <c r="CO46" s="49"/>
      <c r="CP46" s="49"/>
      <c r="CQ46" s="49"/>
      <c r="CR46" s="49"/>
      <c r="CS46" s="49"/>
      <c r="CT46" s="49"/>
      <c r="CU46" s="50"/>
    </row>
    <row r="47" spans="1:99" s="51" customFormat="1" ht="26.25" customHeight="1">
      <c r="A47" s="59">
        <v>40</v>
      </c>
      <c r="B47" s="60" t="s">
        <v>91</v>
      </c>
      <c r="C47" s="61" t="s">
        <v>56</v>
      </c>
      <c r="D47" s="43" t="s">
        <v>24</v>
      </c>
      <c r="E47" s="62">
        <f t="shared" si="2"/>
        <v>42572</v>
      </c>
      <c r="F47" s="63">
        <v>7</v>
      </c>
      <c r="G47" s="62">
        <f t="shared" si="3"/>
        <v>42579</v>
      </c>
      <c r="H47" s="64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56"/>
      <c r="BF47" s="56"/>
      <c r="BG47" s="56"/>
      <c r="BH47" s="56"/>
      <c r="BI47" s="56"/>
      <c r="BJ47" s="56"/>
      <c r="BK47" s="56"/>
      <c r="BL47" s="49"/>
      <c r="BM47" s="49"/>
      <c r="BN47" s="49"/>
      <c r="BO47" s="49"/>
      <c r="BP47" s="49"/>
      <c r="BQ47" s="49"/>
      <c r="BR47" s="49"/>
      <c r="BS47" s="49"/>
      <c r="BT47" s="49"/>
      <c r="BU47" s="49"/>
      <c r="BV47" s="49"/>
      <c r="BW47" s="49"/>
      <c r="BX47" s="49"/>
      <c r="BY47" s="49"/>
      <c r="BZ47" s="49"/>
      <c r="CA47" s="49"/>
      <c r="CB47" s="49"/>
      <c r="CC47" s="49"/>
      <c r="CD47" s="49"/>
      <c r="CE47" s="49"/>
      <c r="CF47" s="49"/>
      <c r="CG47" s="49"/>
      <c r="CH47" s="49"/>
      <c r="CI47" s="49"/>
      <c r="CJ47" s="49"/>
      <c r="CK47" s="49"/>
      <c r="CL47" s="49"/>
      <c r="CM47" s="49"/>
      <c r="CN47" s="49"/>
      <c r="CO47" s="49"/>
      <c r="CP47" s="49"/>
      <c r="CQ47" s="49"/>
      <c r="CR47" s="49"/>
      <c r="CS47" s="49"/>
      <c r="CT47" s="49"/>
      <c r="CU47" s="50"/>
    </row>
    <row r="48" spans="1:99" s="51" customFormat="1" ht="26.25" customHeight="1">
      <c r="A48" s="59">
        <v>41</v>
      </c>
      <c r="B48" s="60" t="s">
        <v>90</v>
      </c>
      <c r="C48" s="61" t="s">
        <v>57</v>
      </c>
      <c r="D48" s="43" t="s">
        <v>31</v>
      </c>
      <c r="E48" s="62">
        <f t="shared" si="2"/>
        <v>42579</v>
      </c>
      <c r="F48" s="63">
        <v>2</v>
      </c>
      <c r="G48" s="62">
        <f t="shared" si="3"/>
        <v>42581</v>
      </c>
      <c r="H48" s="64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  <c r="BJ48" s="49"/>
      <c r="BK48" s="49"/>
      <c r="BL48" s="53"/>
      <c r="BM48" s="53"/>
      <c r="BN48" s="49"/>
      <c r="BO48" s="49"/>
      <c r="BP48" s="49"/>
      <c r="BQ48" s="49"/>
      <c r="BR48" s="49"/>
      <c r="BS48" s="49"/>
      <c r="BT48" s="49"/>
      <c r="BU48" s="49"/>
      <c r="BV48" s="49"/>
      <c r="BW48" s="49"/>
      <c r="BX48" s="49"/>
      <c r="BY48" s="49"/>
      <c r="BZ48" s="49"/>
      <c r="CA48" s="49"/>
      <c r="CB48" s="49"/>
      <c r="CC48" s="49"/>
      <c r="CD48" s="49"/>
      <c r="CE48" s="49"/>
      <c r="CF48" s="49"/>
      <c r="CG48" s="49"/>
      <c r="CH48" s="49"/>
      <c r="CI48" s="49"/>
      <c r="CJ48" s="49"/>
      <c r="CK48" s="49"/>
      <c r="CL48" s="49"/>
      <c r="CM48" s="49"/>
      <c r="CN48" s="49"/>
      <c r="CO48" s="49"/>
      <c r="CP48" s="49"/>
      <c r="CQ48" s="49"/>
      <c r="CR48" s="49"/>
      <c r="CS48" s="49"/>
      <c r="CT48" s="49"/>
      <c r="CU48" s="50"/>
    </row>
    <row r="49" spans="1:99" s="51" customFormat="1" ht="26.25" customHeight="1">
      <c r="A49" s="41">
        <v>42</v>
      </c>
      <c r="B49" s="42" t="s">
        <v>55</v>
      </c>
      <c r="C49" s="43" t="s">
        <v>114</v>
      </c>
      <c r="D49" s="43" t="s">
        <v>31</v>
      </c>
      <c r="E49" s="44">
        <f t="shared" si="2"/>
        <v>42581</v>
      </c>
      <c r="F49" s="45">
        <v>2</v>
      </c>
      <c r="G49" s="44">
        <f t="shared" si="3"/>
        <v>42583</v>
      </c>
      <c r="H49" s="52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49"/>
      <c r="BH49" s="53"/>
      <c r="BI49" s="53"/>
      <c r="BJ49" s="49"/>
      <c r="BK49" s="49"/>
      <c r="BL49" s="49"/>
      <c r="BM49" s="49"/>
      <c r="BN49" s="49"/>
      <c r="BO49" s="49"/>
      <c r="BP49" s="49"/>
      <c r="BQ49" s="49"/>
      <c r="BR49" s="49"/>
      <c r="BS49" s="49"/>
      <c r="BT49" s="49"/>
      <c r="BU49" s="49"/>
      <c r="BV49" s="49"/>
      <c r="BW49" s="49"/>
      <c r="BX49" s="49"/>
      <c r="BY49" s="49"/>
      <c r="BZ49" s="49"/>
      <c r="CA49" s="49"/>
      <c r="CB49" s="49"/>
      <c r="CC49" s="49"/>
      <c r="CD49" s="49"/>
      <c r="CE49" s="49"/>
      <c r="CF49" s="49"/>
      <c r="CG49" s="49"/>
      <c r="CH49" s="49"/>
      <c r="CI49" s="49"/>
      <c r="CJ49" s="49"/>
      <c r="CK49" s="49"/>
      <c r="CL49" s="49"/>
      <c r="CM49" s="49"/>
      <c r="CN49" s="49"/>
      <c r="CO49" s="49"/>
      <c r="CP49" s="49"/>
      <c r="CQ49" s="49"/>
      <c r="CR49" s="49"/>
      <c r="CS49" s="49"/>
      <c r="CT49" s="49"/>
      <c r="CU49" s="50"/>
    </row>
    <row r="50" spans="1:99" s="51" customFormat="1" ht="26.25" customHeight="1">
      <c r="A50" s="41">
        <v>43</v>
      </c>
      <c r="B50" s="42" t="s">
        <v>89</v>
      </c>
      <c r="C50" s="43" t="s">
        <v>113</v>
      </c>
      <c r="D50" s="43" t="s">
        <v>31</v>
      </c>
      <c r="E50" s="44">
        <f t="shared" si="2"/>
        <v>42583</v>
      </c>
      <c r="F50" s="45">
        <v>2</v>
      </c>
      <c r="G50" s="44">
        <f t="shared" si="3"/>
        <v>42585</v>
      </c>
      <c r="H50" s="52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49"/>
      <c r="AZ50" s="49"/>
      <c r="BA50" s="49"/>
      <c r="BB50" s="49"/>
      <c r="BC50" s="49"/>
      <c r="BD50" s="49"/>
      <c r="BE50" s="49"/>
      <c r="BF50" s="49"/>
      <c r="BG50" s="49"/>
      <c r="BH50" s="49"/>
      <c r="BI50" s="49"/>
      <c r="BJ50" s="53"/>
      <c r="BK50" s="53"/>
      <c r="BL50" s="49"/>
      <c r="BM50" s="49"/>
      <c r="BN50" s="49"/>
      <c r="BO50" s="49"/>
      <c r="BP50" s="49"/>
      <c r="BQ50" s="49"/>
      <c r="BR50" s="49"/>
      <c r="BS50" s="49"/>
      <c r="BT50" s="49"/>
      <c r="BU50" s="49"/>
      <c r="BV50" s="49"/>
      <c r="BW50" s="49"/>
      <c r="BX50" s="49"/>
      <c r="BY50" s="49"/>
      <c r="BZ50" s="49"/>
      <c r="CA50" s="49"/>
      <c r="CB50" s="49"/>
      <c r="CC50" s="49"/>
      <c r="CD50" s="49"/>
      <c r="CE50" s="49"/>
      <c r="CF50" s="49"/>
      <c r="CG50" s="49"/>
      <c r="CH50" s="49"/>
      <c r="CI50" s="49"/>
      <c r="CJ50" s="49"/>
      <c r="CK50" s="49"/>
      <c r="CL50" s="49"/>
      <c r="CM50" s="49"/>
      <c r="CN50" s="49"/>
      <c r="CO50" s="49"/>
      <c r="CP50" s="49"/>
      <c r="CQ50" s="49"/>
      <c r="CR50" s="49"/>
      <c r="CS50" s="49"/>
      <c r="CT50" s="49"/>
      <c r="CU50" s="50"/>
    </row>
    <row r="51" spans="1:99" s="51" customFormat="1" ht="26.25" customHeight="1">
      <c r="A51" s="41">
        <v>44</v>
      </c>
      <c r="B51" s="42" t="s">
        <v>111</v>
      </c>
      <c r="C51" s="43" t="s">
        <v>112</v>
      </c>
      <c r="D51" s="43" t="s">
        <v>31</v>
      </c>
      <c r="E51" s="44">
        <f t="shared" si="2"/>
        <v>42585</v>
      </c>
      <c r="F51" s="45">
        <v>2</v>
      </c>
      <c r="G51" s="44">
        <f t="shared" si="3"/>
        <v>42587</v>
      </c>
      <c r="H51" s="52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 s="49"/>
      <c r="BI51" s="49"/>
      <c r="BJ51" s="49"/>
      <c r="BK51" s="48"/>
      <c r="BL51" s="53"/>
      <c r="BM51" s="53"/>
      <c r="BN51" s="49"/>
      <c r="BO51" s="49"/>
      <c r="BP51" s="49"/>
      <c r="BQ51" s="49"/>
      <c r="BR51" s="49"/>
      <c r="BS51" s="49"/>
      <c r="BT51" s="49"/>
      <c r="BU51" s="49"/>
      <c r="BV51" s="49"/>
      <c r="BW51" s="49"/>
      <c r="BX51" s="49"/>
      <c r="BY51" s="49"/>
      <c r="BZ51" s="49"/>
      <c r="CA51" s="49"/>
      <c r="CB51" s="49"/>
      <c r="CC51" s="49"/>
      <c r="CD51" s="49"/>
      <c r="CE51" s="49"/>
      <c r="CF51" s="49"/>
      <c r="CG51" s="49"/>
      <c r="CH51" s="49"/>
      <c r="CI51" s="49"/>
      <c r="CJ51" s="49"/>
      <c r="CK51" s="49"/>
      <c r="CL51" s="49"/>
      <c r="CM51" s="49"/>
      <c r="CN51" s="49"/>
      <c r="CO51" s="49"/>
      <c r="CP51" s="49"/>
      <c r="CQ51" s="49"/>
      <c r="CR51" s="49"/>
      <c r="CS51" s="49"/>
      <c r="CT51" s="49"/>
      <c r="CU51" s="50"/>
    </row>
    <row r="52" spans="1:99" s="51" customFormat="1" ht="26.25" customHeight="1">
      <c r="A52" s="41">
        <v>45</v>
      </c>
      <c r="B52" s="42" t="s">
        <v>115</v>
      </c>
      <c r="C52" s="43" t="s">
        <v>116</v>
      </c>
      <c r="D52" s="43" t="s">
        <v>31</v>
      </c>
      <c r="E52" s="44">
        <f t="shared" si="2"/>
        <v>42587</v>
      </c>
      <c r="F52" s="45">
        <v>1</v>
      </c>
      <c r="G52" s="44">
        <f t="shared" si="3"/>
        <v>42588</v>
      </c>
      <c r="H52" s="52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49"/>
      <c r="AZ52" s="49"/>
      <c r="BA52" s="49"/>
      <c r="BB52" s="49"/>
      <c r="BC52" s="49"/>
      <c r="BD52" s="49"/>
      <c r="BE52" s="49"/>
      <c r="BF52" s="49"/>
      <c r="BG52" s="49"/>
      <c r="BH52" s="49"/>
      <c r="BI52" s="49"/>
      <c r="BJ52" s="49"/>
      <c r="BK52" s="49"/>
      <c r="BL52" s="49"/>
      <c r="BM52" s="49"/>
      <c r="BN52" s="53"/>
      <c r="BO52" s="49"/>
      <c r="BP52" s="49"/>
      <c r="BQ52" s="49"/>
      <c r="BR52" s="49"/>
      <c r="BS52" s="49"/>
      <c r="BT52" s="49"/>
      <c r="BU52" s="49"/>
      <c r="BV52" s="49"/>
      <c r="BW52" s="49"/>
      <c r="BX52" s="49"/>
      <c r="BY52" s="49"/>
      <c r="BZ52" s="49"/>
      <c r="CA52" s="49"/>
      <c r="CB52" s="49"/>
      <c r="CC52" s="49"/>
      <c r="CD52" s="49"/>
      <c r="CE52" s="49"/>
      <c r="CF52" s="49"/>
      <c r="CG52" s="49"/>
      <c r="CH52" s="49"/>
      <c r="CI52" s="49"/>
      <c r="CJ52" s="49"/>
      <c r="CK52" s="49"/>
      <c r="CL52" s="49"/>
      <c r="CM52" s="49"/>
      <c r="CN52" s="49"/>
      <c r="CO52" s="49"/>
      <c r="CP52" s="49"/>
      <c r="CQ52" s="49"/>
      <c r="CR52" s="49"/>
      <c r="CS52" s="49"/>
      <c r="CT52" s="49"/>
      <c r="CU52" s="50"/>
    </row>
    <row r="53" spans="1:99" s="51" customFormat="1" ht="26.25" customHeight="1">
      <c r="A53" s="41">
        <v>46</v>
      </c>
      <c r="B53" s="42" t="s">
        <v>109</v>
      </c>
      <c r="C53" s="43" t="s">
        <v>27</v>
      </c>
      <c r="D53" s="43" t="s">
        <v>23</v>
      </c>
      <c r="E53" s="44">
        <f t="shared" si="2"/>
        <v>42588</v>
      </c>
      <c r="F53" s="45">
        <v>2</v>
      </c>
      <c r="G53" s="44">
        <f t="shared" si="3"/>
        <v>42590</v>
      </c>
      <c r="H53" s="52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49"/>
      <c r="AZ53" s="49"/>
      <c r="BA53" s="49"/>
      <c r="BB53" s="49"/>
      <c r="BC53" s="49"/>
      <c r="BD53" s="49"/>
      <c r="BE53" s="49"/>
      <c r="BF53" s="49"/>
      <c r="BG53" s="49"/>
      <c r="BH53" s="49"/>
      <c r="BI53" s="49"/>
      <c r="BJ53" s="49"/>
      <c r="BK53" s="49"/>
      <c r="BL53" s="49"/>
      <c r="BM53" s="49"/>
      <c r="BN53" s="49"/>
      <c r="BO53" s="65"/>
      <c r="BP53" s="65"/>
      <c r="BQ53" s="49"/>
      <c r="BR53" s="49"/>
      <c r="BS53" s="49"/>
      <c r="BT53" s="49"/>
      <c r="BU53" s="49"/>
      <c r="BV53" s="49"/>
      <c r="BW53" s="49"/>
      <c r="BX53" s="49"/>
      <c r="BY53" s="49"/>
      <c r="BZ53" s="49"/>
      <c r="CA53" s="49"/>
      <c r="CB53" s="49"/>
      <c r="CC53" s="49"/>
      <c r="CD53" s="49"/>
      <c r="CE53" s="49"/>
      <c r="CF53" s="49"/>
      <c r="CG53" s="49"/>
      <c r="CH53" s="49"/>
      <c r="CI53" s="49"/>
      <c r="CJ53" s="49"/>
      <c r="CK53" s="49"/>
      <c r="CL53" s="49"/>
      <c r="CM53" s="49"/>
      <c r="CN53" s="49"/>
      <c r="CO53" s="49"/>
      <c r="CP53" s="49"/>
      <c r="CQ53" s="49"/>
      <c r="CR53" s="49"/>
      <c r="CS53" s="49"/>
      <c r="CT53" s="49"/>
      <c r="CU53" s="50"/>
    </row>
    <row r="54" spans="1:99" s="51" customFormat="1" ht="26.25" customHeight="1">
      <c r="A54" s="41">
        <v>47</v>
      </c>
      <c r="B54" s="42" t="s">
        <v>88</v>
      </c>
      <c r="C54" s="43" t="s">
        <v>26</v>
      </c>
      <c r="D54" s="43" t="s">
        <v>23</v>
      </c>
      <c r="E54" s="44">
        <f t="shared" si="2"/>
        <v>42590</v>
      </c>
      <c r="F54" s="45">
        <v>1</v>
      </c>
      <c r="G54" s="44">
        <f t="shared" si="3"/>
        <v>42591</v>
      </c>
      <c r="H54" s="52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49"/>
      <c r="AZ54" s="49"/>
      <c r="BA54" s="49"/>
      <c r="BB54" s="49"/>
      <c r="BC54" s="49"/>
      <c r="BD54" s="49"/>
      <c r="BE54" s="49"/>
      <c r="BF54" s="49"/>
      <c r="BG54" s="49"/>
      <c r="BH54" s="49"/>
      <c r="BI54" s="49"/>
      <c r="BJ54" s="49"/>
      <c r="BK54" s="49"/>
      <c r="BL54" s="49"/>
      <c r="BM54" s="49"/>
      <c r="BN54" s="49"/>
      <c r="BO54" s="49"/>
      <c r="BP54" s="49"/>
      <c r="BQ54" s="65"/>
      <c r="BR54" s="49"/>
      <c r="BS54" s="49"/>
      <c r="BT54" s="49"/>
      <c r="BU54" s="49"/>
      <c r="BV54" s="49"/>
      <c r="BW54" s="49"/>
      <c r="BX54" s="49"/>
      <c r="BY54" s="49"/>
      <c r="BZ54" s="49"/>
      <c r="CA54" s="49"/>
      <c r="CB54" s="49"/>
      <c r="CC54" s="49"/>
      <c r="CD54" s="49"/>
      <c r="CE54" s="49"/>
      <c r="CF54" s="49"/>
      <c r="CG54" s="49"/>
      <c r="CH54" s="49"/>
      <c r="CI54" s="49"/>
      <c r="CJ54" s="49"/>
      <c r="CK54" s="49"/>
      <c r="CL54" s="49"/>
      <c r="CM54" s="49"/>
      <c r="CN54" s="49"/>
      <c r="CO54" s="49"/>
      <c r="CP54" s="49"/>
      <c r="CQ54" s="49"/>
      <c r="CR54" s="49"/>
      <c r="CS54" s="49"/>
      <c r="CT54" s="49"/>
      <c r="CU54" s="50"/>
    </row>
    <row r="55" spans="1:99" s="51" customFormat="1" ht="26.25" customHeight="1">
      <c r="A55" s="41">
        <v>48</v>
      </c>
      <c r="B55" s="42" t="s">
        <v>87</v>
      </c>
      <c r="C55" s="43" t="s">
        <v>28</v>
      </c>
      <c r="D55" s="43" t="s">
        <v>23</v>
      </c>
      <c r="E55" s="44">
        <f t="shared" si="2"/>
        <v>42591</v>
      </c>
      <c r="F55" s="45">
        <v>2</v>
      </c>
      <c r="G55" s="44">
        <f t="shared" si="3"/>
        <v>42593</v>
      </c>
      <c r="H55" s="52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49"/>
      <c r="BE55" s="49"/>
      <c r="BF55" s="49"/>
      <c r="BG55" s="49"/>
      <c r="BH55" s="49"/>
      <c r="BI55" s="49"/>
      <c r="BJ55" s="49"/>
      <c r="BK55" s="49"/>
      <c r="BL55" s="49"/>
      <c r="BM55" s="49"/>
      <c r="BN55" s="49"/>
      <c r="BO55" s="49"/>
      <c r="BP55" s="49"/>
      <c r="BQ55" s="49"/>
      <c r="BR55" s="65"/>
      <c r="BS55" s="65"/>
      <c r="BT55" s="49"/>
      <c r="BU55" s="49"/>
      <c r="BV55" s="49"/>
      <c r="BW55" s="49"/>
      <c r="BX55" s="49"/>
      <c r="BY55" s="49"/>
      <c r="BZ55" s="49"/>
      <c r="CA55" s="49"/>
      <c r="CB55" s="49"/>
      <c r="CC55" s="49"/>
      <c r="CD55" s="49"/>
      <c r="CE55" s="49"/>
      <c r="CF55" s="49"/>
      <c r="CG55" s="49"/>
      <c r="CH55" s="49"/>
      <c r="CI55" s="49"/>
      <c r="CJ55" s="49"/>
      <c r="CK55" s="49"/>
      <c r="CL55" s="49"/>
      <c r="CM55" s="49"/>
      <c r="CN55" s="49"/>
      <c r="CO55" s="49"/>
      <c r="CP55" s="49"/>
      <c r="CQ55" s="49"/>
      <c r="CR55" s="49"/>
      <c r="CS55" s="49"/>
      <c r="CT55" s="49"/>
      <c r="CU55" s="50"/>
    </row>
    <row r="56" spans="1:99" s="51" customFormat="1" ht="26.25" customHeight="1">
      <c r="A56" s="41">
        <v>49</v>
      </c>
      <c r="B56" s="42" t="s">
        <v>86</v>
      </c>
      <c r="C56" s="43" t="s">
        <v>17</v>
      </c>
      <c r="D56" s="43" t="s">
        <v>23</v>
      </c>
      <c r="E56" s="44">
        <f t="shared" si="2"/>
        <v>42593</v>
      </c>
      <c r="F56" s="45">
        <v>4</v>
      </c>
      <c r="G56" s="44">
        <f t="shared" si="3"/>
        <v>42597</v>
      </c>
      <c r="H56" s="52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49"/>
      <c r="BE56" s="49"/>
      <c r="BF56" s="49"/>
      <c r="BG56" s="49"/>
      <c r="BH56" s="49"/>
      <c r="BI56" s="49"/>
      <c r="BJ56" s="49"/>
      <c r="BK56" s="49"/>
      <c r="BL56" s="49"/>
      <c r="BM56" s="49"/>
      <c r="BN56" s="49"/>
      <c r="BO56" s="49"/>
      <c r="BP56" s="65"/>
      <c r="BQ56" s="65"/>
      <c r="BR56" s="65"/>
      <c r="BS56" s="65"/>
      <c r="BT56" s="49"/>
      <c r="BU56" s="49"/>
      <c r="BV56" s="49"/>
      <c r="BW56" s="49"/>
      <c r="BX56" s="49"/>
      <c r="BY56" s="49"/>
      <c r="BZ56" s="49"/>
      <c r="CA56" s="49"/>
      <c r="CB56" s="49"/>
      <c r="CC56" s="49"/>
      <c r="CD56" s="49"/>
      <c r="CE56" s="49"/>
      <c r="CF56" s="49"/>
      <c r="CG56" s="49"/>
      <c r="CH56" s="49"/>
      <c r="CI56" s="49"/>
      <c r="CJ56" s="49"/>
      <c r="CK56" s="49"/>
      <c r="CL56" s="49"/>
      <c r="CM56" s="49"/>
      <c r="CN56" s="49"/>
      <c r="CO56" s="49"/>
      <c r="CP56" s="49"/>
      <c r="CQ56" s="49"/>
      <c r="CR56" s="49"/>
      <c r="CS56" s="49"/>
      <c r="CT56" s="49"/>
      <c r="CU56" s="50"/>
    </row>
    <row r="57" spans="1:99" s="51" customFormat="1" ht="26.25" customHeight="1">
      <c r="A57" s="41">
        <v>50</v>
      </c>
      <c r="B57" s="42" t="s">
        <v>85</v>
      </c>
      <c r="C57" s="43" t="s">
        <v>19</v>
      </c>
      <c r="D57" s="43" t="s">
        <v>23</v>
      </c>
      <c r="E57" s="44">
        <f t="shared" si="2"/>
        <v>42597</v>
      </c>
      <c r="F57" s="45">
        <v>2</v>
      </c>
      <c r="G57" s="44">
        <f t="shared" si="3"/>
        <v>42599</v>
      </c>
      <c r="H57" s="52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49"/>
      <c r="AZ57" s="49"/>
      <c r="BA57" s="49"/>
      <c r="BB57" s="49"/>
      <c r="BC57" s="49"/>
      <c r="BD57" s="49"/>
      <c r="BE57" s="49"/>
      <c r="BF57" s="49"/>
      <c r="BG57" s="49"/>
      <c r="BH57" s="49"/>
      <c r="BI57" s="49"/>
      <c r="BJ57" s="49"/>
      <c r="BK57" s="49"/>
      <c r="BL57" s="49"/>
      <c r="BM57" s="49"/>
      <c r="BN57" s="49"/>
      <c r="BO57" s="49"/>
      <c r="BP57" s="49"/>
      <c r="BQ57" s="49"/>
      <c r="BR57" s="49"/>
      <c r="BS57" s="49"/>
      <c r="BT57" s="65"/>
      <c r="BU57" s="65"/>
      <c r="BV57" s="49"/>
      <c r="BW57" s="49"/>
      <c r="BX57" s="49"/>
      <c r="BY57" s="49"/>
      <c r="BZ57" s="49"/>
      <c r="CA57" s="49"/>
      <c r="CB57" s="49"/>
      <c r="CC57" s="49"/>
      <c r="CD57" s="49"/>
      <c r="CE57" s="49"/>
      <c r="CF57" s="49"/>
      <c r="CG57" s="49"/>
      <c r="CH57" s="49"/>
      <c r="CI57" s="49"/>
      <c r="CJ57" s="49"/>
      <c r="CK57" s="49"/>
      <c r="CL57" s="49"/>
      <c r="CM57" s="49"/>
      <c r="CN57" s="49"/>
      <c r="CO57" s="49"/>
      <c r="CP57" s="49"/>
      <c r="CQ57" s="49"/>
      <c r="CR57" s="49"/>
      <c r="CS57" s="49"/>
      <c r="CT57" s="49"/>
      <c r="CU57" s="50"/>
    </row>
    <row r="58" spans="1:99" s="51" customFormat="1" ht="26.25" customHeight="1">
      <c r="A58" s="41">
        <v>51</v>
      </c>
      <c r="B58" s="42" t="s">
        <v>84</v>
      </c>
      <c r="C58" s="43" t="s">
        <v>18</v>
      </c>
      <c r="D58" s="43" t="s">
        <v>23</v>
      </c>
      <c r="E58" s="44">
        <f t="shared" si="2"/>
        <v>42599</v>
      </c>
      <c r="F58" s="45">
        <v>4</v>
      </c>
      <c r="G58" s="44">
        <f t="shared" si="3"/>
        <v>42603</v>
      </c>
      <c r="H58" s="52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49"/>
      <c r="AY58" s="49"/>
      <c r="AZ58" s="49"/>
      <c r="BA58" s="49"/>
      <c r="BB58" s="49"/>
      <c r="BC58" s="49"/>
      <c r="BD58" s="49"/>
      <c r="BE58" s="49"/>
      <c r="BF58" s="49"/>
      <c r="BG58" s="49"/>
      <c r="BH58" s="49"/>
      <c r="BI58" s="49"/>
      <c r="BJ58" s="49"/>
      <c r="BK58" s="49"/>
      <c r="BL58" s="49"/>
      <c r="BM58" s="49"/>
      <c r="BN58" s="49"/>
      <c r="BO58" s="49"/>
      <c r="BP58" s="49"/>
      <c r="BQ58" s="49"/>
      <c r="BR58" s="49"/>
      <c r="BS58" s="49"/>
      <c r="BT58" s="49"/>
      <c r="BU58" s="49"/>
      <c r="BV58" s="65"/>
      <c r="BW58" s="65"/>
      <c r="BX58" s="65"/>
      <c r="BY58" s="65"/>
      <c r="BZ58" s="49"/>
      <c r="CA58" s="49"/>
      <c r="CB58" s="49"/>
      <c r="CC58" s="49"/>
      <c r="CD58" s="49"/>
      <c r="CE58" s="49"/>
      <c r="CF58" s="49"/>
      <c r="CG58" s="49"/>
      <c r="CH58" s="49"/>
      <c r="CI58" s="49"/>
      <c r="CJ58" s="49"/>
      <c r="CK58" s="49"/>
      <c r="CL58" s="49"/>
      <c r="CM58" s="49"/>
      <c r="CN58" s="49"/>
      <c r="CO58" s="49"/>
      <c r="CP58" s="49"/>
      <c r="CQ58" s="49"/>
      <c r="CR58" s="49"/>
      <c r="CS58" s="49"/>
      <c r="CT58" s="49"/>
      <c r="CU58" s="50"/>
    </row>
    <row r="59" spans="1:99" s="51" customFormat="1" ht="26.25" customHeight="1">
      <c r="A59" s="41">
        <v>52</v>
      </c>
      <c r="B59" s="42" t="s">
        <v>83</v>
      </c>
      <c r="C59" s="43" t="s">
        <v>20</v>
      </c>
      <c r="D59" s="43" t="s">
        <v>23</v>
      </c>
      <c r="E59" s="44">
        <f t="shared" si="2"/>
        <v>42603</v>
      </c>
      <c r="F59" s="45">
        <v>2</v>
      </c>
      <c r="G59" s="44">
        <f t="shared" si="3"/>
        <v>42605</v>
      </c>
      <c r="H59" s="52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49"/>
      <c r="AY59" s="49"/>
      <c r="AZ59" s="49"/>
      <c r="BA59" s="49"/>
      <c r="BB59" s="49"/>
      <c r="BC59" s="49"/>
      <c r="BD59" s="49"/>
      <c r="BE59" s="49"/>
      <c r="BF59" s="49"/>
      <c r="BG59" s="49"/>
      <c r="BH59" s="49"/>
      <c r="BI59" s="49"/>
      <c r="BJ59" s="49"/>
      <c r="BK59" s="49"/>
      <c r="BL59" s="49"/>
      <c r="BM59" s="49"/>
      <c r="BN59" s="49"/>
      <c r="BO59" s="49"/>
      <c r="BP59" s="49"/>
      <c r="BQ59" s="49"/>
      <c r="BR59" s="49"/>
      <c r="BS59" s="49"/>
      <c r="BT59" s="49"/>
      <c r="BU59" s="49"/>
      <c r="BV59" s="49"/>
      <c r="BW59" s="49"/>
      <c r="BX59" s="49"/>
      <c r="BY59" s="49"/>
      <c r="BZ59" s="65"/>
      <c r="CA59" s="65"/>
      <c r="CB59" s="49"/>
      <c r="CC59" s="49"/>
      <c r="CD59" s="49"/>
      <c r="CE59" s="49"/>
      <c r="CF59" s="49"/>
      <c r="CG59" s="49"/>
      <c r="CH59" s="49"/>
      <c r="CI59" s="49"/>
      <c r="CJ59" s="49"/>
      <c r="CK59" s="49"/>
      <c r="CL59" s="49"/>
      <c r="CM59" s="49"/>
      <c r="CN59" s="49"/>
      <c r="CO59" s="49"/>
      <c r="CP59" s="49"/>
      <c r="CQ59" s="49"/>
      <c r="CR59" s="49"/>
      <c r="CS59" s="49"/>
      <c r="CT59" s="49"/>
      <c r="CU59" s="50"/>
    </row>
    <row r="60" spans="1:99" s="51" customFormat="1" ht="26.25" customHeight="1">
      <c r="A60" s="41">
        <v>53</v>
      </c>
      <c r="B60" s="66" t="s">
        <v>121</v>
      </c>
      <c r="C60" s="67" t="s">
        <v>215</v>
      </c>
      <c r="D60" s="43" t="s">
        <v>123</v>
      </c>
      <c r="E60" s="44">
        <f t="shared" si="2"/>
        <v>42605</v>
      </c>
      <c r="F60" s="45">
        <v>3</v>
      </c>
      <c r="G60" s="44">
        <f t="shared" si="3"/>
        <v>42608</v>
      </c>
      <c r="H60" s="50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49"/>
      <c r="AZ60" s="49"/>
      <c r="BA60" s="49"/>
      <c r="BB60" s="49"/>
      <c r="BC60" s="49"/>
      <c r="BD60" s="49"/>
      <c r="BE60" s="49"/>
      <c r="BF60" s="49"/>
      <c r="BG60" s="49"/>
      <c r="BH60" s="49"/>
      <c r="BI60" s="49"/>
      <c r="BJ60" s="49"/>
      <c r="BK60" s="49"/>
      <c r="BL60" s="49"/>
      <c r="BM60" s="49"/>
      <c r="BN60" s="49"/>
      <c r="BO60" s="49"/>
      <c r="BP60" s="49"/>
      <c r="BQ60" s="49"/>
      <c r="BR60" s="49"/>
      <c r="BS60" s="49"/>
      <c r="BT60" s="49"/>
      <c r="BU60" s="49"/>
      <c r="BV60" s="49"/>
      <c r="BW60" s="49"/>
      <c r="BX60" s="49"/>
      <c r="BY60" s="49"/>
      <c r="BZ60" s="49"/>
      <c r="CA60" s="49"/>
      <c r="CB60" s="68"/>
      <c r="CC60" s="68"/>
      <c r="CD60" s="68"/>
      <c r="CE60" s="49"/>
      <c r="CF60" s="49"/>
      <c r="CG60" s="49"/>
      <c r="CH60" s="49"/>
      <c r="CI60" s="49"/>
      <c r="CJ60" s="49"/>
      <c r="CK60" s="49"/>
      <c r="CL60" s="49"/>
      <c r="CM60" s="49"/>
      <c r="CN60" s="49"/>
      <c r="CO60" s="49"/>
      <c r="CP60" s="49"/>
      <c r="CQ60" s="49"/>
      <c r="CR60" s="49"/>
      <c r="CS60" s="49"/>
      <c r="CT60" s="49"/>
      <c r="CU60" s="50"/>
    </row>
    <row r="61" spans="1:99" s="51" customFormat="1" ht="26.25" customHeight="1" thickBot="1">
      <c r="A61" s="69">
        <v>53</v>
      </c>
      <c r="B61" s="70" t="s">
        <v>216</v>
      </c>
      <c r="C61" s="71" t="s">
        <v>122</v>
      </c>
      <c r="D61" s="72" t="s">
        <v>123</v>
      </c>
      <c r="E61" s="73">
        <f t="shared" ref="E61" si="4">G60</f>
        <v>42608</v>
      </c>
      <c r="F61" s="74">
        <v>1</v>
      </c>
      <c r="G61" s="73">
        <f t="shared" ref="G61" si="5">E61+F61</f>
        <v>42609</v>
      </c>
      <c r="H61" s="75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/>
      <c r="BC61" s="76"/>
      <c r="BD61" s="76"/>
      <c r="BE61" s="76"/>
      <c r="BF61" s="76"/>
      <c r="BG61" s="76"/>
      <c r="BH61" s="76"/>
      <c r="BI61" s="76"/>
      <c r="BJ61" s="76"/>
      <c r="BK61" s="76"/>
      <c r="BL61" s="76"/>
      <c r="BM61" s="76"/>
      <c r="BN61" s="76"/>
      <c r="BO61" s="76"/>
      <c r="BP61" s="76"/>
      <c r="BQ61" s="76"/>
      <c r="BR61" s="76"/>
      <c r="BS61" s="76"/>
      <c r="BT61" s="76"/>
      <c r="BU61" s="76"/>
      <c r="BV61" s="76"/>
      <c r="BW61" s="76"/>
      <c r="BX61" s="76"/>
      <c r="BY61" s="76"/>
      <c r="BZ61" s="76"/>
      <c r="CA61" s="76"/>
      <c r="CB61" s="76"/>
      <c r="CC61" s="76"/>
      <c r="CD61" s="76"/>
      <c r="CE61" s="77"/>
      <c r="CF61" s="76"/>
      <c r="CG61" s="76"/>
      <c r="CH61" s="76"/>
      <c r="CI61" s="76"/>
      <c r="CJ61" s="76"/>
      <c r="CK61" s="76"/>
      <c r="CL61" s="76"/>
      <c r="CM61" s="76"/>
      <c r="CN61" s="76"/>
      <c r="CO61" s="76"/>
      <c r="CP61" s="76"/>
      <c r="CQ61" s="76"/>
      <c r="CR61" s="76"/>
      <c r="CS61" s="76"/>
      <c r="CT61" s="76"/>
      <c r="CU61" s="75"/>
    </row>
    <row r="62" spans="1:99">
      <c r="E62" s="1"/>
    </row>
    <row r="63" spans="1:99">
      <c r="C63" s="18" t="s">
        <v>30</v>
      </c>
      <c r="D63" s="20"/>
    </row>
    <row r="64" spans="1:99">
      <c r="C64" s="10" t="s">
        <v>22</v>
      </c>
      <c r="D64" s="14"/>
      <c r="E64">
        <f>F8+F9+F10+F11+F13+F45</f>
        <v>9</v>
      </c>
    </row>
    <row r="65" spans="3:5">
      <c r="C65" s="10" t="s">
        <v>23</v>
      </c>
      <c r="D65" s="13"/>
      <c r="E65">
        <f>F53+F54+F55+F56+F57+F58+F59</f>
        <v>17</v>
      </c>
    </row>
    <row r="66" spans="3:5">
      <c r="C66" s="10" t="s">
        <v>24</v>
      </c>
      <c r="D66" s="15"/>
      <c r="E66">
        <f>F23+F27+F31+F33+F35+F37+F39+F41+F43+F46+F47</f>
        <v>35</v>
      </c>
    </row>
    <row r="67" spans="3:5">
      <c r="C67" s="10" t="s">
        <v>14</v>
      </c>
      <c r="D67" s="16"/>
      <c r="E67">
        <f>F42+F29+F25+F21+F18+F14</f>
        <v>13</v>
      </c>
    </row>
    <row r="68" spans="3:5">
      <c r="C68" s="10" t="s">
        <v>31</v>
      </c>
      <c r="D68" s="17"/>
      <c r="E68">
        <f>F48+F49+F50+F51+F52+F44+F40+F38+F36+F34+F32+F30+F28+F26+F24+F22+F20+F19+F17+F16+F15</f>
        <v>37</v>
      </c>
    </row>
    <row r="69" spans="3:5">
      <c r="C69" s="10" t="s">
        <v>123</v>
      </c>
      <c r="D69" s="19"/>
      <c r="E69">
        <f>F60+F61</f>
        <v>4</v>
      </c>
    </row>
    <row r="70" spans="3:5">
      <c r="E70" s="1"/>
    </row>
    <row r="71" spans="3:5">
      <c r="E71">
        <f>SUM(E64:E70)</f>
        <v>115</v>
      </c>
    </row>
    <row r="72" spans="3:5">
      <c r="E72" s="1"/>
    </row>
  </sheetData>
  <sortState ref="A8:G58">
    <sortCondition ref="B8"/>
  </sortState>
  <mergeCells count="5">
    <mergeCell ref="E7:G7"/>
    <mergeCell ref="A5:H5"/>
    <mergeCell ref="A3:C3"/>
    <mergeCell ref="A1:C1"/>
    <mergeCell ref="A4:C4"/>
  </mergeCells>
  <conditionalFormatting sqref="D8:D59">
    <cfRule type="cellIs" dxfId="24" priority="53" operator="equal">
      <formula>$C$68</formula>
    </cfRule>
    <cfRule type="cellIs" dxfId="23" priority="54" operator="equal">
      <formula>$C$67</formula>
    </cfRule>
    <cfRule type="cellIs" dxfId="22" priority="55" operator="equal">
      <formula>$C$66</formula>
    </cfRule>
    <cfRule type="cellIs" dxfId="21" priority="56" operator="equal">
      <formula>$C$65</formula>
    </cfRule>
    <cfRule type="cellIs" dxfId="20" priority="57" operator="equal">
      <formula>$C$64</formula>
    </cfRule>
  </conditionalFormatting>
  <conditionalFormatting sqref="D60">
    <cfRule type="cellIs" dxfId="19" priority="12" operator="equal">
      <formula>$C$69</formula>
    </cfRule>
    <cfRule type="cellIs" dxfId="18" priority="13" operator="equal">
      <formula>$C$68</formula>
    </cfRule>
    <cfRule type="cellIs" dxfId="17" priority="14" operator="equal">
      <formula>$C$67</formula>
    </cfRule>
    <cfRule type="cellIs" dxfId="16" priority="15" operator="equal">
      <formula>$C$66</formula>
    </cfRule>
    <cfRule type="cellIs" dxfId="15" priority="16" operator="equal">
      <formula>$C$65</formula>
    </cfRule>
    <cfRule type="cellIs" dxfId="14" priority="17" operator="equal">
      <formula>$C$64</formula>
    </cfRule>
  </conditionalFormatting>
  <conditionalFormatting sqref="D65">
    <cfRule type="cellIs" dxfId="13" priority="7" operator="equal">
      <formula>$C$68</formula>
    </cfRule>
    <cfRule type="cellIs" dxfId="12" priority="8" operator="equal">
      <formula>$C$67</formula>
    </cfRule>
    <cfRule type="cellIs" dxfId="11" priority="9" operator="equal">
      <formula>$C$66</formula>
    </cfRule>
    <cfRule type="cellIs" dxfId="10" priority="10" operator="equal">
      <formula>$C$65</formula>
    </cfRule>
    <cfRule type="cellIs" dxfId="9" priority="11" operator="equal">
      <formula>$C$64</formula>
    </cfRule>
  </conditionalFormatting>
  <conditionalFormatting sqref="D61">
    <cfRule type="cellIs" dxfId="8" priority="1" operator="equal">
      <formula>$C$69</formula>
    </cfRule>
    <cfRule type="cellIs" dxfId="7" priority="2" operator="equal">
      <formula>$C$68</formula>
    </cfRule>
    <cfRule type="cellIs" dxfId="6" priority="3" operator="equal">
      <formula>$C$67</formula>
    </cfRule>
    <cfRule type="cellIs" dxfId="5" priority="4" operator="equal">
      <formula>$C$66</formula>
    </cfRule>
    <cfRule type="cellIs" dxfId="4" priority="5" operator="equal">
      <formula>$C$65</formula>
    </cfRule>
    <cfRule type="cellIs" dxfId="3" priority="6" operator="equal">
      <formula>$C$64</formula>
    </cfRule>
  </conditionalFormatting>
  <dataValidations count="1">
    <dataValidation type="list" allowBlank="1" showInputMessage="1" showErrorMessage="1" sqref="D8:D61">
      <formula1>$C$64:$C$69</formula1>
    </dataValidation>
  </dataValidations>
  <pageMargins left="0.25" right="0.25" top="0.75" bottom="0.75" header="0.3" footer="0.3"/>
  <pageSetup paperSize="9" scale="29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72A1E04-4641-486D-B0D1-31E9320836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Kirr</dc:creator>
  <cp:lastModifiedBy>Kevin Kirr</cp:lastModifiedBy>
  <cp:lastPrinted>2016-04-19T18:59:28Z</cp:lastPrinted>
  <dcterms:created xsi:type="dcterms:W3CDTF">2016-03-19T08:32:41Z</dcterms:created>
  <dcterms:modified xsi:type="dcterms:W3CDTF">2016-04-19T19:00:06Z</dcterms:modified>
</cp:coreProperties>
</file>